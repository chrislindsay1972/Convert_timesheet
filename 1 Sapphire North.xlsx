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lindsay\Downloads\"/>
    </mc:Choice>
  </mc:AlternateContent>
  <xr:revisionPtr revIDLastSave="0" documentId="8_{8C05AE5B-3FE3-4A7E-8605-7B9101D421F9}" xr6:coauthVersionLast="47" xr6:coauthVersionMax="47" xr10:uidLastSave="{00000000-0000-0000-0000-000000000000}"/>
  <bookViews>
    <workbookView xWindow="-98" yWindow="-98" windowWidth="24496" windowHeight="15675" xr2:uid="{E05AD865-D0E5-4015-B576-5612E51C0548}"/>
  </bookViews>
  <sheets>
    <sheet name="Pivot" sheetId="2" r:id="rId1"/>
    <sheet name="Input" sheetId="1" r:id="rId2"/>
    <sheet name="Output" sheetId="3" r:id="rId3"/>
  </sheets>
  <definedNames>
    <definedName name="_xlnm._FilterDatabase" localSheetId="1" hidden="1">Input!$A$1:$T$32</definedName>
  </definedNames>
  <calcPr calcId="191029"/>
  <pivotCaches>
    <pivotCache cacheId="13" r:id="rId4"/>
    <pivotCache cacheId="1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4" i="2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F33" i="2"/>
</calcChain>
</file>

<file path=xl/sharedStrings.xml><?xml version="1.0" encoding="utf-8"?>
<sst xmlns="http://schemas.openxmlformats.org/spreadsheetml/2006/main" count="587" uniqueCount="237">
  <si>
    <t>Timesheet Consultant</t>
  </si>
  <si>
    <t>Timesheet Division</t>
  </si>
  <si>
    <t>Candidate RefNo</t>
  </si>
  <si>
    <t>Candidate Forename</t>
  </si>
  <si>
    <t>Candidate Surname</t>
  </si>
  <si>
    <t>Candidate DOB</t>
  </si>
  <si>
    <t>Candidate NI</t>
  </si>
  <si>
    <t>Candidate CD Name</t>
  </si>
  <si>
    <t>Client Name</t>
  </si>
  <si>
    <t>Contract JobTitle</t>
  </si>
  <si>
    <t>Weekending</t>
  </si>
  <si>
    <t>Std Hrs</t>
  </si>
  <si>
    <t>OT1 Hrs</t>
  </si>
  <si>
    <t>OT2 Hrs</t>
  </si>
  <si>
    <t>Std Rate</t>
  </si>
  <si>
    <t>OT1 Rate</t>
  </si>
  <si>
    <t>OT2 Rate</t>
  </si>
  <si>
    <t>Expenses</t>
  </si>
  <si>
    <t>Net Pay</t>
  </si>
  <si>
    <t>Comments</t>
  </si>
  <si>
    <t>Carl Ashton</t>
  </si>
  <si>
    <t xml:space="preserve">YORKSHIRE </t>
  </si>
  <si>
    <t>CAN-543853</t>
  </si>
  <si>
    <t>William</t>
  </si>
  <si>
    <t>Allamby</t>
  </si>
  <si>
    <t>25/10/1991</t>
  </si>
  <si>
    <t/>
  </si>
  <si>
    <t>Sapphire Limited - CIS</t>
  </si>
  <si>
    <t>Barratt Homes (YW) - Harclay Park</t>
  </si>
  <si>
    <t>Skilled Worker</t>
  </si>
  <si>
    <t>04/01/2026</t>
  </si>
  <si>
    <t>Nick Grimshaw</t>
  </si>
  <si>
    <t>NW - TRADES</t>
  </si>
  <si>
    <t>CAN-484805</t>
  </si>
  <si>
    <t>Julian</t>
  </si>
  <si>
    <t>Bamber</t>
  </si>
  <si>
    <t>06/09/1964</t>
  </si>
  <si>
    <t>TBC</t>
  </si>
  <si>
    <t>Genesis Homes - Bowland Fold</t>
  </si>
  <si>
    <t>Telehandler</t>
  </si>
  <si>
    <t>28/12/2025</t>
  </si>
  <si>
    <t>Advanced</t>
  </si>
  <si>
    <t>Aran Dennis</t>
  </si>
  <si>
    <t>CAN-539388</t>
  </si>
  <si>
    <t>Luke</t>
  </si>
  <si>
    <t>Beresford</t>
  </si>
  <si>
    <t>04/11/1982</t>
  </si>
  <si>
    <t>Sapphire Limited - UMB</t>
  </si>
  <si>
    <t>McAvoy Group Ltd - Alfreton</t>
  </si>
  <si>
    <t>Labourer</t>
  </si>
  <si>
    <t>Julia Scholes</t>
  </si>
  <si>
    <t>CAN-536408</t>
  </si>
  <si>
    <t>Daniel</t>
  </si>
  <si>
    <t>Berhane</t>
  </si>
  <si>
    <t>17/07/1994</t>
  </si>
  <si>
    <t>TL301908A</t>
  </si>
  <si>
    <t>Miller Homes (NW) - Rookery Place</t>
  </si>
  <si>
    <t>CAN-426997</t>
  </si>
  <si>
    <t>Peter</t>
  </si>
  <si>
    <t>Brown</t>
  </si>
  <si>
    <t>11/05/1985</t>
  </si>
  <si>
    <t>JK433851D</t>
  </si>
  <si>
    <t>Anwyl Homes Lancashire - Eagles Green</t>
  </si>
  <si>
    <t>CAN-532413</t>
  </si>
  <si>
    <t>Ben</t>
  </si>
  <si>
    <t>Christie</t>
  </si>
  <si>
    <t>17/02/1998</t>
  </si>
  <si>
    <t>PC699743D</t>
  </si>
  <si>
    <t>Morris Homes - Waters Edge</t>
  </si>
  <si>
    <t>Ollie McMahon</t>
  </si>
  <si>
    <t>CAN-543030</t>
  </si>
  <si>
    <t>Thomas</t>
  </si>
  <si>
    <t>Dransfield</t>
  </si>
  <si>
    <t>24/05/2006</t>
  </si>
  <si>
    <t>Harron Homes - Nevison's Fold</t>
  </si>
  <si>
    <t>CAN-517175</t>
  </si>
  <si>
    <t>Artur</t>
  </si>
  <si>
    <t>Gorskij</t>
  </si>
  <si>
    <t>27/07/1984</t>
  </si>
  <si>
    <t>Harron Homes - Castle Gardens</t>
  </si>
  <si>
    <t>Jessica Lomax</t>
  </si>
  <si>
    <t>CAN-539767</t>
  </si>
  <si>
    <t>Fisseha</t>
  </si>
  <si>
    <t>Hanefom</t>
  </si>
  <si>
    <t>23/10/1993</t>
  </si>
  <si>
    <t>Domis Construction - Waterhouse Gardens (Brewery)</t>
  </si>
  <si>
    <t>Tom Evans</t>
  </si>
  <si>
    <t xml:space="preserve">Multi Trade Operative </t>
  </si>
  <si>
    <t>CAN-546052</t>
  </si>
  <si>
    <t>Huyton</t>
  </si>
  <si>
    <t>02/03/2006</t>
  </si>
  <si>
    <t>Castle Green Homes - Orchard Place</t>
  </si>
  <si>
    <t>CAN-498397</t>
  </si>
  <si>
    <t>Ross</t>
  </si>
  <si>
    <t>Kenyon</t>
  </si>
  <si>
    <t>01/03/1995</t>
  </si>
  <si>
    <t>JZ899093B</t>
  </si>
  <si>
    <t>Tilia Homes (NW) - Alston Grange</t>
  </si>
  <si>
    <t>CAN-428359</t>
  </si>
  <si>
    <t>Ivomir</t>
  </si>
  <si>
    <t>Kirchev</t>
  </si>
  <si>
    <t>25/02/1986</t>
  </si>
  <si>
    <t>SR573501B</t>
  </si>
  <si>
    <t>Wain Homes - High Hill View</t>
  </si>
  <si>
    <t>21/12/2025</t>
  </si>
  <si>
    <t>CAN-535173</t>
  </si>
  <si>
    <t>Saka</t>
  </si>
  <si>
    <t>Makanda</t>
  </si>
  <si>
    <t>15/05/1963</t>
  </si>
  <si>
    <t>Traffic Marshall</t>
  </si>
  <si>
    <t>CAN-534408</t>
  </si>
  <si>
    <t>John</t>
  </si>
  <si>
    <t>Mernagh</t>
  </si>
  <si>
    <t>12/12/2005</t>
  </si>
  <si>
    <t>Barratt Homes (YW) - Wadsworth Gardens</t>
  </si>
  <si>
    <t>CAN-494902</t>
  </si>
  <si>
    <t>Roger Darrell</t>
  </si>
  <si>
    <t>21/04/1953</t>
  </si>
  <si>
    <t xml:space="preserve">YW501868 </t>
  </si>
  <si>
    <t>Gateperson</t>
  </si>
  <si>
    <t xml:space="preserve">Samuel Smith </t>
  </si>
  <si>
    <t>NW - WHITE COLLAR</t>
  </si>
  <si>
    <t>CAN-253205</t>
  </si>
  <si>
    <t>Darren</t>
  </si>
  <si>
    <t>Miller</t>
  </si>
  <si>
    <t>02/05/1970</t>
  </si>
  <si>
    <t>BW Interiors - The Spine Building</t>
  </si>
  <si>
    <t>Site Manager</t>
  </si>
  <si>
    <t>CAN-534505</t>
  </si>
  <si>
    <t>Chris</t>
  </si>
  <si>
    <t>Mills</t>
  </si>
  <si>
    <t>03/07/1979</t>
  </si>
  <si>
    <t>JH 39 52 64 A</t>
  </si>
  <si>
    <t>Eccleston Homes - Brook House Place</t>
  </si>
  <si>
    <t>CAN-13768</t>
  </si>
  <si>
    <t>Gary</t>
  </si>
  <si>
    <t>Minshull</t>
  </si>
  <si>
    <t>21/03/1963</t>
  </si>
  <si>
    <t>NA428220A</t>
  </si>
  <si>
    <t>Gleeson Developments Limited (NW) - Bracewell Gardens</t>
  </si>
  <si>
    <t>CAN-542911</t>
  </si>
  <si>
    <t>Ojo</t>
  </si>
  <si>
    <t>23/08/2000</t>
  </si>
  <si>
    <t>Jones Homes - Century View</t>
  </si>
  <si>
    <t>CAN-545719</t>
  </si>
  <si>
    <t>Laimis</t>
  </si>
  <si>
    <t>Pamakstys</t>
  </si>
  <si>
    <t>22/06/1993</t>
  </si>
  <si>
    <t>Avant Homes - Seely Fields</t>
  </si>
  <si>
    <t>CAN-489429</t>
  </si>
  <si>
    <t>Andis</t>
  </si>
  <si>
    <t>Riemers</t>
  </si>
  <si>
    <t>07/08/1984</t>
  </si>
  <si>
    <t>SG267824A</t>
  </si>
  <si>
    <t>Anwyl Homes Lancashire - Whittle Brook Park</t>
  </si>
  <si>
    <t>Stephanie Mawdsley</t>
  </si>
  <si>
    <t>Head Office</t>
  </si>
  <si>
    <t>CAN-364429</t>
  </si>
  <si>
    <t>Stephen</t>
  </si>
  <si>
    <t>Roberts</t>
  </si>
  <si>
    <t>16/08/1971</t>
  </si>
  <si>
    <t xml:space="preserve">Walter Carefoot PLC - HO </t>
  </si>
  <si>
    <t>Contracts Manager</t>
  </si>
  <si>
    <t>CAN-528163</t>
  </si>
  <si>
    <t>Ousainou</t>
  </si>
  <si>
    <t>Sawaneh</t>
  </si>
  <si>
    <t>10/07/1984</t>
  </si>
  <si>
    <t>Redrow Homes - (Datum RPO ) Kingsley Manor</t>
  </si>
  <si>
    <t>Banksman</t>
  </si>
  <si>
    <t>CAN-530639</t>
  </si>
  <si>
    <t>Anthony</t>
  </si>
  <si>
    <t>Shaw</t>
  </si>
  <si>
    <t>08/04/1988</t>
  </si>
  <si>
    <t>JR412778C</t>
  </si>
  <si>
    <t>Wain Homes - Kingsley Manor</t>
  </si>
  <si>
    <t>CAN-502667</t>
  </si>
  <si>
    <t>David</t>
  </si>
  <si>
    <t>Shepley</t>
  </si>
  <si>
    <t>12/06/1989</t>
  </si>
  <si>
    <t>Alliance Construction Group - MRI</t>
  </si>
  <si>
    <t>CAN-345380</t>
  </si>
  <si>
    <t>Singh</t>
  </si>
  <si>
    <t>18/08/1963</t>
  </si>
  <si>
    <t>NA658987D</t>
  </si>
  <si>
    <t>Castle Green Homes - Viking Way B2</t>
  </si>
  <si>
    <t>CAN-543495</t>
  </si>
  <si>
    <t>Samuel</t>
  </si>
  <si>
    <t>Teklebirahn</t>
  </si>
  <si>
    <t>24/10/1994</t>
  </si>
  <si>
    <t>Churchill Living- Warrington</t>
  </si>
  <si>
    <t>Skilled Labourer</t>
  </si>
  <si>
    <t>Row Labels</t>
  </si>
  <si>
    <t>(blank)</t>
  </si>
  <si>
    <t>Grand Total</t>
  </si>
  <si>
    <t>Sum of Net Pay</t>
  </si>
  <si>
    <t>employeeid</t>
  </si>
  <si>
    <t>firstname</t>
  </si>
  <si>
    <t>surname</t>
  </si>
  <si>
    <t>description</t>
  </si>
  <si>
    <t>amount</t>
  </si>
  <si>
    <t>rate</t>
  </si>
  <si>
    <t>weekending</t>
  </si>
  <si>
    <t>unit</t>
  </si>
  <si>
    <t>Std Hrs - Barratt Homes (YW) - Harclay Park</t>
  </si>
  <si>
    <t>hours</t>
  </si>
  <si>
    <t>Std Hrs - Genesis Homes - Bowland Fold</t>
  </si>
  <si>
    <t>Std Hrs - McAvoy Group Ltd - Alfreton</t>
  </si>
  <si>
    <t>Std Hrs - Miller Homes (NW) - Rookery Place</t>
  </si>
  <si>
    <t>Std Hrs - Anwyl Homes Lancashire - Eagles Green</t>
  </si>
  <si>
    <t>Std Hrs - Morris Homes - Waters Edge</t>
  </si>
  <si>
    <t>Std Hrs - Harron Homes - Nevison's Fold</t>
  </si>
  <si>
    <t>Std Hrs - Harron Homes - Castle Gardens</t>
  </si>
  <si>
    <t>Std Hrs - Domis Construction - Waterhouse Gardens (Brewery)</t>
  </si>
  <si>
    <t>Std Hrs - Castle Green Homes - Orchard Place</t>
  </si>
  <si>
    <t>Std Hrs - Tilia Homes (NW) - Alston Grange</t>
  </si>
  <si>
    <t>Std Hrs - Wain Homes - High Hill View</t>
  </si>
  <si>
    <t>Std Hrs - Domis Construction - Waterhouse Gardens (Brewery) Traffic Marshall</t>
  </si>
  <si>
    <t>Std Hrs - Barratt Homes (YW) - Wadsworth Gardens Skilled Worker</t>
  </si>
  <si>
    <t>Std Hrs - BW Interiors - The Spine Building</t>
  </si>
  <si>
    <t>OT1 Hrs - BW Interiors - The Spine Building</t>
  </si>
  <si>
    <t>Std Hrs - Eccleston Homes - Brook House Place</t>
  </si>
  <si>
    <t>Std Hrs - Gleeson Developments Limited (NW) - Bracewell Gardens</t>
  </si>
  <si>
    <t>Std Hrs - Jones Homes - Century View</t>
  </si>
  <si>
    <t>Std Hrs - Avant Homes - Seely Fields</t>
  </si>
  <si>
    <t>Std Hrs - Anwyl Homes Lancashire - Whittle Brook Park</t>
  </si>
  <si>
    <t>Expenses - Walter Carefoot PLC - HO</t>
  </si>
  <si>
    <t>expense</t>
  </si>
  <si>
    <t>Std Hrs - Walter Carefoot PLC - HO</t>
  </si>
  <si>
    <t>Std Hrs - Redrow Homes - (Datum RPO ) Kingsley Manor - Banksman</t>
  </si>
  <si>
    <t>Std Hrs - Wain Homes - Kingsley Manor - Telehandler</t>
  </si>
  <si>
    <t>Std Hrs - Alliance Construction Group - MRI - Site Manager</t>
  </si>
  <si>
    <t>Std Hrs - Castle Green Homes - Viking Way B2 - Telehandler</t>
  </si>
  <si>
    <t>Std Hrs - Churchill Living- Warrington - Skilled Labourer</t>
  </si>
  <si>
    <t>Total</t>
  </si>
  <si>
    <t>Sum of Total</t>
  </si>
  <si>
    <t>AI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</si>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</sst>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0.00"/>
    <numFmt numFmtId="165" formatCode="#,##0.00000000000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0" fillId="2" borderId="0" xfId="0" applyNumberFormat="1" applyFill="1" applyAlignment="1">
      <alignment horizontal="left"/>
    </xf>
    <xf numFmtId="164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64" fontId="0" fillId="0" borderId="0" xfId="0" applyNumberFormat="1"/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0" fillId="0" borderId="0" xfId="0" applyNumberFormat="1"/>
    <xf numFmtId="0" fontId="0" fillId="0" borderId="0" xfId="0" pivotButton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 lindsay" refreshedDate="46029.665641898151" createdVersion="8" refreshedVersion="8" minRefreshableVersion="3" recordCount="52" xr:uid="{666865B3-9FF0-488E-B624-51EC885B08CF}">
  <cacheSource type="worksheet">
    <worksheetSource ref="A1:S1048576" sheet="Input"/>
  </cacheSource>
  <cacheFields count="19">
    <cacheField name="Timesheet Consultant" numFmtId="0">
      <sharedItems containsBlank="1"/>
    </cacheField>
    <cacheField name="Timesheet Division" numFmtId="0">
      <sharedItems containsBlank="1"/>
    </cacheField>
    <cacheField name="Candidate RefNo" numFmtId="0">
      <sharedItems containsBlank="1" count="38">
        <s v="CAN-543853"/>
        <s v="CAN-484805"/>
        <s v="CAN-539388"/>
        <s v="CAN-536408"/>
        <s v="CAN-426997"/>
        <s v="CAN-532413"/>
        <s v="CAN-543030"/>
        <s v="CAN-517175"/>
        <s v="CAN-539767"/>
        <s v="CAN-546052"/>
        <s v="CAN-498397"/>
        <s v="CAN-428359"/>
        <s v="CAN-535173"/>
        <s v="CAN-534408"/>
        <s v="CAN-494902"/>
        <s v="CAN-253205"/>
        <s v="CAN-534505"/>
        <s v="CAN-13768"/>
        <s v="CAN-542911"/>
        <s v="CAN-545719"/>
        <s v="CAN-489429"/>
        <s v="CAN-364429"/>
        <s v="CAN-528163"/>
        <s v="CAN-530639"/>
        <s v="CAN-502667"/>
        <s v="CAN-345380"/>
        <s v="CAN-543495"/>
        <m/>
        <s v="CAN-434340" u="1"/>
        <s v="CAN-518377" u="1"/>
        <s v="CAN-521370" u="1"/>
        <s v="CAN-502813" u="1"/>
        <s v="CAN-542310" u="1"/>
        <s v="CAN-537212" u="1"/>
        <s v="CAN-493975" u="1"/>
        <s v="CAN-478021" u="1"/>
        <s v="CAN-546096" u="1"/>
        <s v="CAN-536495" u="1"/>
      </sharedItems>
    </cacheField>
    <cacheField name="Candidate Forename" numFmtId="0">
      <sharedItems containsBlank="1"/>
    </cacheField>
    <cacheField name="Candidate Surname" numFmtId="0">
      <sharedItems containsBlank="1"/>
    </cacheField>
    <cacheField name="Candidate DOB" numFmtId="0">
      <sharedItems containsBlank="1"/>
    </cacheField>
    <cacheField name="Candidate NI" numFmtId="0">
      <sharedItems containsBlank="1"/>
    </cacheField>
    <cacheField name="Candidate CD Name" numFmtId="0">
      <sharedItems containsBlank="1"/>
    </cacheField>
    <cacheField name="Client Name" numFmtId="0">
      <sharedItems containsBlank="1"/>
    </cacheField>
    <cacheField name="Contract JobTitle" numFmtId="0">
      <sharedItems containsBlank="1"/>
    </cacheField>
    <cacheField name="Weekending" numFmtId="0">
      <sharedItems containsBlank="1"/>
    </cacheField>
    <cacheField name="Std Hrs" numFmtId="0">
      <sharedItems containsString="0" containsBlank="1" containsNumber="1" minValue="-39" maxValue="57"/>
    </cacheField>
    <cacheField name="OT1 Hrs" numFmtId="0">
      <sharedItems containsString="0" containsBlank="1" containsNumber="1" containsInteger="1" minValue="0" maxValue="1"/>
    </cacheField>
    <cacheField name="OT2 Hrs" numFmtId="0">
      <sharedItems containsString="0" containsBlank="1" containsNumber="1" containsInteger="1" minValue="0" maxValue="0"/>
    </cacheField>
    <cacheField name="Std Rate" numFmtId="0">
      <sharedItems containsString="0" containsBlank="1" containsNumber="1" minValue="15" maxValue="320"/>
    </cacheField>
    <cacheField name="OT1 Rate" numFmtId="0">
      <sharedItems containsString="0" containsBlank="1" containsNumber="1" minValue="0" maxValue="450"/>
    </cacheField>
    <cacheField name="OT2 Rate" numFmtId="0">
      <sharedItems containsString="0" containsBlank="1" containsNumber="1" containsInteger="1" minValue="0" maxValue="0"/>
    </cacheField>
    <cacheField name="Expenses" numFmtId="0">
      <sharedItems containsString="0" containsBlank="1" containsNumber="1" minValue="0" maxValue="37.5"/>
    </cacheField>
    <cacheField name="Net Pay" numFmtId="0">
      <sharedItems containsString="0" containsBlank="1" containsNumber="1" minValue="-760.5" maxValue="1111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 lindsay" refreshedDate="46029.665855555555" createdVersion="8" refreshedVersion="8" minRefreshableVersion="3" recordCount="29" xr:uid="{25C7E251-C390-4F85-8B5E-6F4838AC2FB0}">
  <cacheSource type="worksheet">
    <worksheetSource ref="A1:I30" sheet="Output"/>
  </cacheSource>
  <cacheFields count="9">
    <cacheField name="employeeid" numFmtId="0">
      <sharedItems count="26">
        <s v="CAN-543853"/>
        <s v="CAN-484805"/>
        <s v="CAN-539388"/>
        <s v="CAN-536408"/>
        <s v="CAN-426997"/>
        <s v="CAN-532413"/>
        <s v="CAN-543030"/>
        <s v="CAN-517175"/>
        <s v="CAN-539767"/>
        <s v="CAN-546052"/>
        <s v="CAN-498397"/>
        <s v="CAN-428359"/>
        <s v="CAN-535173"/>
        <s v="CAN-534408"/>
        <s v="CAN-253205"/>
        <s v="CAN-534505"/>
        <s v="CAN-13768"/>
        <s v="CAN-542911"/>
        <s v="CAN-545719"/>
        <s v="CAN-489429"/>
        <s v="CAN-364429"/>
        <s v="CAN-528163"/>
        <s v="CAN-530639"/>
        <s v="CAN-502667"/>
        <s v="CAN-345380"/>
        <s v="CAN-543495"/>
      </sharedItems>
    </cacheField>
    <cacheField name="firstname" numFmtId="0">
      <sharedItems/>
    </cacheField>
    <cacheField name="surname" numFmtId="0">
      <sharedItems/>
    </cacheField>
    <cacheField name="description" numFmtId="0">
      <sharedItems/>
    </cacheField>
    <cacheField name="amount" numFmtId="0">
      <sharedItems containsSemiMixedTypes="0" containsString="0" containsNumber="1" minValue="1" maxValue="57"/>
    </cacheField>
    <cacheField name="rate" numFmtId="0">
      <sharedItems containsSemiMixedTypes="0" containsString="0" containsNumber="1" minValue="15" maxValue="450"/>
    </cacheField>
    <cacheField name="weekending" numFmtId="14">
      <sharedItems containsSemiMixedTypes="0" containsNonDate="0" containsDate="1" containsString="0" minDate="2025-12-21T00:00:00" maxDate="2026-01-05T00:00:00"/>
    </cacheField>
    <cacheField name="unit" numFmtId="0">
      <sharedItems/>
    </cacheField>
    <cacheField name="Total" numFmtId="0">
      <sharedItems containsSemiMixedTypes="0" containsString="0" containsNumber="1" minValue="37.5" maxValue="1111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Carl Ashton"/>
    <s v="YORKSHIRE "/>
    <x v="0"/>
    <s v="William"/>
    <s v="Allamby"/>
    <s v="25/10/1991"/>
    <s v=""/>
    <s v="Sapphire Limited - CIS"/>
    <s v="Barratt Homes (YW) - Harclay Park"/>
    <s v="Skilled Worker"/>
    <s v="04/01/2026"/>
    <n v="7"/>
    <n v="0"/>
    <n v="0"/>
    <n v="16.25"/>
    <n v="0"/>
    <n v="0"/>
    <n v="0"/>
    <n v="113.75"/>
  </r>
  <r>
    <s v="Nick Grimshaw"/>
    <s v="NW - TRADES"/>
    <x v="1"/>
    <s v="Julian"/>
    <s v="Bamber"/>
    <s v="06/09/1964"/>
    <s v="TBC"/>
    <s v="Sapphire Limited - CIS"/>
    <s v="Genesis Homes - Bowland Fold"/>
    <s v="Telehandler"/>
    <s v="28/12/2025"/>
    <n v="18"/>
    <n v="0"/>
    <n v="0"/>
    <n v="20.5"/>
    <n v="0"/>
    <n v="0"/>
    <n v="0"/>
    <n v="369"/>
  </r>
  <r>
    <s v="Aran Dennis"/>
    <s v="YORKSHIRE "/>
    <x v="2"/>
    <s v="Luke"/>
    <s v="Beresford"/>
    <s v="04/11/1982"/>
    <s v=""/>
    <s v="Sapphire Limited - UMB"/>
    <s v="McAvoy Group Ltd - Alfreton"/>
    <s v="Labourer"/>
    <s v="04/01/2026"/>
    <n v="14"/>
    <n v="0"/>
    <n v="0"/>
    <n v="16.5"/>
    <n v="0"/>
    <n v="0"/>
    <n v="0"/>
    <n v="231"/>
  </r>
  <r>
    <s v="Aran Dennis"/>
    <s v="YORKSHIRE "/>
    <x v="2"/>
    <s v="Luke"/>
    <s v="Beresford"/>
    <s v="04/11/1982"/>
    <s v=""/>
    <s v="Sapphire Limited - UMB"/>
    <s v="McAvoy Group Ltd - Alfreton"/>
    <s v="Labourer"/>
    <s v="28/12/2025"/>
    <n v="6"/>
    <n v="0"/>
    <n v="0"/>
    <n v="16.5"/>
    <n v="0"/>
    <n v="0"/>
    <n v="0"/>
    <n v="99"/>
  </r>
  <r>
    <s v="Julia Scholes"/>
    <s v="NW - TRADES"/>
    <x v="3"/>
    <s v="Daniel"/>
    <s v="Berhane"/>
    <s v="17/07/1994"/>
    <s v="TL301908A"/>
    <s v="Sapphire Limited - CIS"/>
    <s v="Miller Homes (NW) - Rookery Place"/>
    <s v="Skilled Worker"/>
    <s v="28/12/2025"/>
    <n v="8"/>
    <n v="0"/>
    <n v="0"/>
    <n v="16.45"/>
    <n v="0"/>
    <n v="0"/>
    <n v="0"/>
    <n v="131.6"/>
  </r>
  <r>
    <s v="Nick Grimshaw"/>
    <s v="NW - TRADES"/>
    <x v="4"/>
    <s v="Peter"/>
    <s v="Brown"/>
    <s v="11/05/1985"/>
    <s v="JK433851D"/>
    <s v="Sapphire Limited - CIS"/>
    <s v="Anwyl Homes Lancashire - Eagles Green"/>
    <s v="Telehandler"/>
    <s v="04/01/2026"/>
    <n v="9"/>
    <n v="0"/>
    <n v="0"/>
    <n v="19"/>
    <n v="0"/>
    <n v="0"/>
    <n v="0"/>
    <n v="171"/>
  </r>
  <r>
    <s v="Nick Grimshaw"/>
    <s v="NW - TRADES"/>
    <x v="5"/>
    <s v="Ben"/>
    <s v="Christie"/>
    <s v="17/02/1998"/>
    <s v="PC699743D"/>
    <s v="Sapphire Limited - CIS"/>
    <s v="Morris Homes - Waters Edge"/>
    <s v="Skilled Worker"/>
    <s v="28/12/2025"/>
    <n v="8.5"/>
    <n v="0"/>
    <n v="0"/>
    <n v="16.25"/>
    <n v="0"/>
    <n v="0"/>
    <n v="0"/>
    <n v="138.13"/>
  </r>
  <r>
    <s v="Carl Ashton"/>
    <s v="YORKSHIRE "/>
    <x v="6"/>
    <s v="Thomas"/>
    <s v="Dransfield"/>
    <s v="24/05/2006"/>
    <s v=""/>
    <s v="Sapphire Limited - CIS"/>
    <s v="Harron Homes - Nevison's Fold"/>
    <s v="Skilled Worker"/>
    <s v="04/01/2026"/>
    <n v="7.5"/>
    <n v="0"/>
    <n v="0"/>
    <n v="16.25"/>
    <n v="0"/>
    <n v="0"/>
    <n v="0"/>
    <n v="121.88"/>
  </r>
  <r>
    <s v="Carl Ashton"/>
    <s v="YORKSHIRE "/>
    <x v="7"/>
    <s v="Artur"/>
    <s v="Gorskij"/>
    <s v="27/07/1984"/>
    <s v=""/>
    <s v="Sapphire Limited - CIS"/>
    <s v="Harron Homes - Castle Gardens"/>
    <s v="Skilled Worker"/>
    <s v="28/12/2025"/>
    <n v="16"/>
    <n v="0"/>
    <n v="0"/>
    <n v="16.25"/>
    <n v="0"/>
    <n v="0"/>
    <n v="0"/>
    <n v="260"/>
  </r>
  <r>
    <s v="Jessica Lomax"/>
    <s v="NW - TRADES"/>
    <x v="8"/>
    <s v="Fisseha"/>
    <s v="Hanefom"/>
    <s v="23/10/1993"/>
    <s v=""/>
    <s v="Sapphire Limited - CIS"/>
    <s v="Domis Construction - Waterhouse Gardens (Brewery)"/>
    <s v="Skilled Worker"/>
    <s v="28/12/2025"/>
    <n v="10.5"/>
    <n v="0"/>
    <n v="0"/>
    <n v="15.5"/>
    <n v="23.25"/>
    <n v="0"/>
    <n v="0"/>
    <n v="162.75"/>
  </r>
  <r>
    <s v="Nick Grimshaw"/>
    <s v="NW - TRADES"/>
    <x v="9"/>
    <s v="Thomas"/>
    <s v="Huyton"/>
    <s v="02/03/2006"/>
    <s v=""/>
    <s v="Sapphire Limited - UMB"/>
    <s v="Castle Green Homes - Orchard Place"/>
    <s v="Labourer"/>
    <s v="04/01/2026"/>
    <n v="8"/>
    <n v="0"/>
    <n v="0"/>
    <n v="15.88"/>
    <n v="0"/>
    <n v="0"/>
    <n v="0"/>
    <n v="127.04"/>
  </r>
  <r>
    <s v="Julia Scholes"/>
    <s v="NW - TRADES"/>
    <x v="10"/>
    <s v="Ross"/>
    <s v="Kenyon"/>
    <s v="01/03/1995"/>
    <s v="JZ899093B"/>
    <s v="Sapphire Limited - CIS"/>
    <s v="Tilia Homes (NW) - Alston Grange"/>
    <s v="Skilled Worker"/>
    <s v="28/12/2025"/>
    <n v="17"/>
    <n v="0"/>
    <n v="0"/>
    <n v="16.25"/>
    <n v="0"/>
    <n v="0"/>
    <n v="0"/>
    <n v="276.25"/>
  </r>
  <r>
    <s v="Tom Evans"/>
    <s v="NW - TRADES"/>
    <x v="11"/>
    <s v="Ivomir"/>
    <s v="Kirchev"/>
    <s v="25/02/1986"/>
    <s v="SR573501B"/>
    <s v="Sapphire Limited - UMB"/>
    <s v="Wain Homes - High Hill View"/>
    <s v="Labourer"/>
    <s v="21/12/2025"/>
    <n v="8"/>
    <n v="0"/>
    <n v="0"/>
    <n v="15.88"/>
    <n v="0"/>
    <n v="0"/>
    <n v="0"/>
    <n v="127.04"/>
  </r>
  <r>
    <s v="Jessica Lomax"/>
    <s v="NW - TRADES"/>
    <x v="12"/>
    <s v="Saka"/>
    <s v="Makanda"/>
    <s v="15/05/1963"/>
    <s v=""/>
    <s v="Sapphire Limited - CIS"/>
    <s v="Domis Construction - Waterhouse Gardens (Brewery)"/>
    <s v="Traffic Marshall"/>
    <s v="04/01/2026"/>
    <n v="26"/>
    <n v="0"/>
    <n v="0"/>
    <n v="15"/>
    <n v="22.5"/>
    <n v="0"/>
    <n v="0"/>
    <n v="390"/>
  </r>
  <r>
    <s v="Carl Ashton"/>
    <s v="YORKSHIRE "/>
    <x v="13"/>
    <s v="John"/>
    <s v="Mernagh"/>
    <s v="12/12/2005"/>
    <s v=""/>
    <s v="Sapphire Limited - CIS"/>
    <s v="Barratt Homes (YW) - Wadsworth Gardens"/>
    <s v="Skilled Worker"/>
    <s v="28/12/2025"/>
    <n v="-16"/>
    <n v="0"/>
    <n v="0"/>
    <n v="16.25"/>
    <n v="0"/>
    <n v="0"/>
    <n v="0"/>
    <n v="-260"/>
  </r>
  <r>
    <s v="Carl Ashton"/>
    <s v="YORKSHIRE "/>
    <x v="13"/>
    <s v="John"/>
    <s v="Mernagh"/>
    <s v="12/12/2005"/>
    <s v=""/>
    <s v="Sapphire Limited - CIS"/>
    <s v="Barratt Homes (YW) - Wadsworth Gardens"/>
    <s v="Skilled Worker"/>
    <s v="28/12/2025"/>
    <n v="24"/>
    <n v="0"/>
    <n v="0"/>
    <n v="16.25"/>
    <n v="0"/>
    <n v="0"/>
    <n v="0"/>
    <n v="390"/>
  </r>
  <r>
    <s v="Carl Ashton"/>
    <s v="YORKSHIRE "/>
    <x v="14"/>
    <s v="Roger Darrell"/>
    <s v="Mernagh"/>
    <s v="21/04/1953"/>
    <s v="YW501868 "/>
    <s v="Sapphire Limited - CIS"/>
    <s v="Barratt Homes (YW) - Wadsworth Gardens"/>
    <s v="Gateperson"/>
    <s v="28/12/2025"/>
    <n v="-18"/>
    <n v="0"/>
    <n v="0"/>
    <n v="16.25"/>
    <n v="0"/>
    <n v="0"/>
    <n v="0"/>
    <n v="-292.5"/>
  </r>
  <r>
    <s v="Carl Ashton"/>
    <s v="YORKSHIRE "/>
    <x v="14"/>
    <s v="Roger Darrell"/>
    <s v="Mernagh"/>
    <s v="21/04/1953"/>
    <s v="YW501868 "/>
    <s v="Sapphire Limited - CIS"/>
    <s v="Barratt Homes (YW) - Wadsworth Gardens"/>
    <s v="Gateperson"/>
    <s v="28/12/2025"/>
    <n v="27"/>
    <n v="0"/>
    <n v="0"/>
    <n v="16.25"/>
    <n v="0"/>
    <n v="0"/>
    <n v="0"/>
    <n v="438.75"/>
  </r>
  <r>
    <s v="Samuel Smith "/>
    <s v="NW - WHITE COLLAR"/>
    <x v="15"/>
    <s v="Darren"/>
    <s v="Miller"/>
    <s v="02/05/1970"/>
    <s v=""/>
    <s v="Sapphire Limited - CIS"/>
    <s v="BW Interiors - The Spine Building"/>
    <s v="Site Manager"/>
    <s v="04/01/2026"/>
    <n v="1"/>
    <n v="1"/>
    <n v="0"/>
    <n v="300"/>
    <n v="450"/>
    <n v="0"/>
    <n v="0"/>
    <n v="750"/>
  </r>
  <r>
    <s v="Nick Grimshaw"/>
    <s v="NW - TRADES"/>
    <x v="16"/>
    <s v="Chris"/>
    <s v="Mills"/>
    <s v="03/07/1979"/>
    <s v="JH 39 52 64 A"/>
    <s v="Sapphire Limited - CIS"/>
    <s v="Eccleston Homes - Brook House Place"/>
    <s v="Telehandler"/>
    <s v="04/01/2026"/>
    <n v="9"/>
    <n v="0"/>
    <n v="0"/>
    <n v="19"/>
    <n v="0"/>
    <n v="0"/>
    <n v="0"/>
    <n v="171"/>
  </r>
  <r>
    <s v="Julia Scholes"/>
    <s v="NW - TRADES"/>
    <x v="17"/>
    <s v="Gary"/>
    <s v="Minshull"/>
    <s v="21/03/1963"/>
    <s v="NA428220A"/>
    <s v="Sapphire Limited - CIS"/>
    <s v="Gleeson Developments Limited (NW) - Bracewell Gardens"/>
    <s v="Multi Trade Operative "/>
    <s v="21/12/2025"/>
    <n v="57"/>
    <n v="0"/>
    <n v="0"/>
    <n v="19.5"/>
    <n v="0"/>
    <n v="0"/>
    <n v="0"/>
    <n v="1111.5"/>
  </r>
  <r>
    <s v="Julia Scholes"/>
    <s v="NW - TRADES"/>
    <x v="17"/>
    <s v="Gary"/>
    <s v="Minshull"/>
    <s v="21/03/1963"/>
    <s v="NA428220A"/>
    <s v="Sapphire Limited - CIS"/>
    <s v="Gleeson Developments Limited (NW) - Bracewell Gardens"/>
    <s v="Multi Trade Operative "/>
    <s v="21/12/2025"/>
    <n v="-39"/>
    <n v="0"/>
    <n v="0"/>
    <n v="19.5"/>
    <n v="0"/>
    <n v="0"/>
    <n v="0"/>
    <n v="-760.5"/>
  </r>
  <r>
    <s v="Carl Ashton"/>
    <s v="YORKSHIRE "/>
    <x v="18"/>
    <s v="Daniel"/>
    <s v="Ojo"/>
    <s v="23/08/2000"/>
    <s v=""/>
    <s v="Sapphire Limited - CIS"/>
    <s v="Jones Homes - Century View"/>
    <s v="Skilled Worker"/>
    <s v="04/01/2026"/>
    <n v="8"/>
    <n v="0"/>
    <n v="0"/>
    <n v="16.25"/>
    <n v="0"/>
    <n v="0"/>
    <n v="0"/>
    <n v="130"/>
  </r>
  <r>
    <s v="Carl Ashton"/>
    <s v="YORKSHIRE "/>
    <x v="19"/>
    <s v="Laimis"/>
    <s v="Pamakstys"/>
    <s v="22/06/1993"/>
    <s v=""/>
    <s v="Sapphire Limited - CIS"/>
    <s v="Avant Homes - Seely Fields"/>
    <s v="Skilled Worker"/>
    <s v="28/12/2025"/>
    <n v="8"/>
    <n v="0"/>
    <n v="0"/>
    <n v="16.25"/>
    <n v="0"/>
    <n v="0"/>
    <n v="0"/>
    <n v="130"/>
  </r>
  <r>
    <s v="Nick Grimshaw"/>
    <s v="NW - TRADES"/>
    <x v="20"/>
    <s v="Andis"/>
    <s v="Riemers"/>
    <s v="07/08/1984"/>
    <s v="SG267824A"/>
    <s v="Sapphire Limited - CIS"/>
    <s v="Anwyl Homes Lancashire - Whittle Brook Park"/>
    <s v="Telehandler"/>
    <s v="04/01/2026"/>
    <n v="9"/>
    <n v="0"/>
    <n v="0"/>
    <n v="19.5"/>
    <n v="0"/>
    <n v="0"/>
    <n v="0"/>
    <n v="175.5"/>
  </r>
  <r>
    <s v="Stephanie Mawdsley"/>
    <s v="Head Office"/>
    <x v="21"/>
    <s v="Stephen"/>
    <s v="Roberts"/>
    <s v="16/08/1971"/>
    <s v=""/>
    <s v="Sapphire Limited - CIS"/>
    <s v="Walter Carefoot PLC - HO "/>
    <s v="Contracts Manager"/>
    <s v="28/12/2025"/>
    <n v="3"/>
    <n v="0"/>
    <n v="0"/>
    <n v="320"/>
    <n v="0.25"/>
    <n v="0"/>
    <n v="37.5"/>
    <n v="997.5"/>
  </r>
  <r>
    <s v="Carl Ashton"/>
    <s v="YORKSHIRE "/>
    <x v="22"/>
    <s v="Ousainou"/>
    <s v="Sawaneh"/>
    <s v="10/07/1984"/>
    <s v=""/>
    <s v="Sapphire Limited - CIS"/>
    <s v="Redrow Homes - (Datum RPO ) Kingsley Manor"/>
    <s v="Banksman"/>
    <s v="21/12/2025"/>
    <n v="25.5"/>
    <n v="0"/>
    <n v="0"/>
    <n v="17"/>
    <n v="0"/>
    <n v="0"/>
    <n v="0"/>
    <n v="433.5"/>
  </r>
  <r>
    <s v="Tom Evans"/>
    <s v="NW - TRADES"/>
    <x v="23"/>
    <s v="Anthony"/>
    <s v="Shaw"/>
    <s v="08/04/1988"/>
    <s v="JR412778C"/>
    <s v="Sapphire Limited - UMB"/>
    <s v="Wain Homes - Kingsley Manor"/>
    <s v="Telehandler"/>
    <s v="04/01/2026"/>
    <n v="13"/>
    <n v="0"/>
    <n v="0"/>
    <n v="18"/>
    <n v="0"/>
    <n v="0"/>
    <n v="0"/>
    <n v="234"/>
  </r>
  <r>
    <s v="Samuel Smith "/>
    <s v="NW - WHITE COLLAR"/>
    <x v="24"/>
    <s v="David"/>
    <s v="Shepley"/>
    <s v="12/06/1989"/>
    <s v=""/>
    <s v="Sapphire Limited - CIS"/>
    <s v="Alliance Construction Group - MRI"/>
    <s v="Site Manager"/>
    <s v="28/12/2025"/>
    <n v="3"/>
    <n v="0"/>
    <n v="0"/>
    <n v="287.5"/>
    <n v="0"/>
    <n v="0"/>
    <n v="0"/>
    <n v="862.5"/>
  </r>
  <r>
    <s v="Nick Grimshaw"/>
    <s v="NW - TRADES"/>
    <x v="25"/>
    <s v="David"/>
    <s v="Singh"/>
    <s v="18/08/1963"/>
    <s v="NA658987D"/>
    <s v="Sapphire Limited - CIS"/>
    <s v="Castle Green Homes - Viking Way B2"/>
    <s v="Telehandler"/>
    <s v="04/01/2026"/>
    <n v="8"/>
    <n v="0"/>
    <n v="0"/>
    <n v="19.5"/>
    <n v="0"/>
    <n v="0"/>
    <n v="0"/>
    <n v="156"/>
  </r>
  <r>
    <s v="Ollie McMahon"/>
    <s v="NW - TRADES"/>
    <x v="26"/>
    <s v="Samuel"/>
    <s v="Teklebirahn"/>
    <s v="24/10/1994"/>
    <s v=""/>
    <s v="Sapphire Limited - UMB"/>
    <s v="Churchill Living- Warrington"/>
    <s v="Skilled Labourer"/>
    <s v="28/12/2025"/>
    <n v="16"/>
    <n v="0"/>
    <n v="0"/>
    <n v="16.25"/>
    <n v="0"/>
    <n v="0"/>
    <n v="0"/>
    <n v="260"/>
  </r>
  <r>
    <m/>
    <m/>
    <x v="27"/>
    <m/>
    <m/>
    <m/>
    <m/>
    <m/>
    <m/>
    <m/>
    <m/>
    <m/>
    <m/>
    <m/>
    <m/>
    <m/>
    <m/>
    <m/>
    <m/>
  </r>
  <r>
    <m/>
    <m/>
    <x v="27"/>
    <m/>
    <m/>
    <m/>
    <m/>
    <m/>
    <m/>
    <m/>
    <m/>
    <m/>
    <m/>
    <m/>
    <m/>
    <m/>
    <m/>
    <m/>
    <m/>
  </r>
  <r>
    <m/>
    <m/>
    <x v="27"/>
    <m/>
    <m/>
    <m/>
    <m/>
    <m/>
    <m/>
    <m/>
    <m/>
    <m/>
    <m/>
    <m/>
    <m/>
    <m/>
    <m/>
    <m/>
    <m/>
  </r>
  <r>
    <m/>
    <m/>
    <x v="27"/>
    <m/>
    <m/>
    <m/>
    <m/>
    <m/>
    <m/>
    <m/>
    <m/>
    <m/>
    <m/>
    <m/>
    <m/>
    <m/>
    <m/>
    <m/>
    <m/>
  </r>
  <r>
    <m/>
    <m/>
    <x v="27"/>
    <m/>
    <m/>
    <m/>
    <m/>
    <m/>
    <m/>
    <m/>
    <m/>
    <m/>
    <m/>
    <m/>
    <m/>
    <m/>
    <m/>
    <m/>
    <m/>
  </r>
  <r>
    <m/>
    <m/>
    <x v="27"/>
    <m/>
    <m/>
    <m/>
    <m/>
    <m/>
    <m/>
    <m/>
    <m/>
    <m/>
    <m/>
    <m/>
    <m/>
    <m/>
    <m/>
    <m/>
    <m/>
  </r>
  <r>
    <m/>
    <m/>
    <x v="27"/>
    <m/>
    <m/>
    <m/>
    <m/>
    <m/>
    <m/>
    <m/>
    <m/>
    <m/>
    <m/>
    <m/>
    <m/>
    <m/>
    <m/>
    <m/>
    <m/>
  </r>
  <r>
    <m/>
    <m/>
    <x v="27"/>
    <m/>
    <m/>
    <m/>
    <m/>
    <m/>
    <m/>
    <m/>
    <m/>
    <m/>
    <m/>
    <m/>
    <m/>
    <m/>
    <m/>
    <m/>
    <m/>
  </r>
  <r>
    <m/>
    <m/>
    <x v="27"/>
    <m/>
    <m/>
    <m/>
    <m/>
    <m/>
    <m/>
    <m/>
    <m/>
    <m/>
    <m/>
    <m/>
    <m/>
    <m/>
    <m/>
    <m/>
    <m/>
  </r>
  <r>
    <m/>
    <m/>
    <x v="27"/>
    <m/>
    <m/>
    <m/>
    <m/>
    <m/>
    <m/>
    <m/>
    <m/>
    <m/>
    <m/>
    <m/>
    <m/>
    <m/>
    <m/>
    <m/>
    <m/>
  </r>
  <r>
    <m/>
    <m/>
    <x v="27"/>
    <m/>
    <m/>
    <m/>
    <m/>
    <m/>
    <m/>
    <m/>
    <m/>
    <m/>
    <m/>
    <m/>
    <m/>
    <m/>
    <m/>
    <m/>
    <m/>
  </r>
  <r>
    <m/>
    <m/>
    <x v="27"/>
    <m/>
    <m/>
    <m/>
    <m/>
    <m/>
    <m/>
    <m/>
    <m/>
    <m/>
    <m/>
    <m/>
    <m/>
    <m/>
    <m/>
    <m/>
    <m/>
  </r>
  <r>
    <m/>
    <m/>
    <x v="27"/>
    <m/>
    <m/>
    <m/>
    <m/>
    <m/>
    <m/>
    <m/>
    <m/>
    <m/>
    <m/>
    <m/>
    <m/>
    <m/>
    <m/>
    <m/>
    <m/>
  </r>
  <r>
    <m/>
    <m/>
    <x v="27"/>
    <m/>
    <m/>
    <m/>
    <m/>
    <m/>
    <m/>
    <m/>
    <m/>
    <m/>
    <m/>
    <m/>
    <m/>
    <m/>
    <m/>
    <m/>
    <m/>
  </r>
  <r>
    <m/>
    <m/>
    <x v="27"/>
    <m/>
    <m/>
    <m/>
    <m/>
    <m/>
    <m/>
    <m/>
    <m/>
    <m/>
    <m/>
    <m/>
    <m/>
    <m/>
    <m/>
    <m/>
    <m/>
  </r>
  <r>
    <m/>
    <m/>
    <x v="27"/>
    <m/>
    <m/>
    <m/>
    <m/>
    <m/>
    <m/>
    <m/>
    <m/>
    <m/>
    <m/>
    <m/>
    <m/>
    <m/>
    <m/>
    <m/>
    <m/>
  </r>
  <r>
    <m/>
    <m/>
    <x v="27"/>
    <m/>
    <m/>
    <m/>
    <m/>
    <m/>
    <m/>
    <m/>
    <m/>
    <m/>
    <m/>
    <m/>
    <m/>
    <m/>
    <m/>
    <m/>
    <m/>
  </r>
  <r>
    <m/>
    <m/>
    <x v="27"/>
    <m/>
    <m/>
    <m/>
    <m/>
    <m/>
    <m/>
    <m/>
    <m/>
    <m/>
    <m/>
    <m/>
    <m/>
    <m/>
    <m/>
    <m/>
    <m/>
  </r>
  <r>
    <m/>
    <m/>
    <x v="27"/>
    <m/>
    <m/>
    <m/>
    <m/>
    <m/>
    <m/>
    <m/>
    <m/>
    <m/>
    <m/>
    <m/>
    <m/>
    <m/>
    <m/>
    <m/>
    <m/>
  </r>
  <r>
    <m/>
    <m/>
    <x v="27"/>
    <m/>
    <m/>
    <m/>
    <m/>
    <m/>
    <m/>
    <m/>
    <m/>
    <m/>
    <m/>
    <m/>
    <m/>
    <m/>
    <m/>
    <m/>
    <m/>
  </r>
  <r>
    <m/>
    <m/>
    <x v="27"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s v="William"/>
    <s v="Allamby"/>
    <s v="Std Hrs - Barratt Homes (YW) - Harclay Park"/>
    <n v="7"/>
    <n v="16.25"/>
    <d v="2026-01-04T00:00:00"/>
    <s v="hours"/>
    <n v="113.75"/>
  </r>
  <r>
    <x v="1"/>
    <s v="Julian"/>
    <s v="Bamber"/>
    <s v="Std Hrs - Genesis Homes - Bowland Fold"/>
    <n v="18"/>
    <n v="20.5"/>
    <d v="2025-12-28T00:00:00"/>
    <s v="hours"/>
    <n v="369"/>
  </r>
  <r>
    <x v="2"/>
    <s v="Luke"/>
    <s v="Beresford"/>
    <s v="Std Hrs - McAvoy Group Ltd - Alfreton"/>
    <n v="14"/>
    <n v="16.5"/>
    <d v="2026-01-04T00:00:00"/>
    <s v="hours"/>
    <n v="231"/>
  </r>
  <r>
    <x v="2"/>
    <s v="Luke"/>
    <s v="Beresford"/>
    <s v="Std Hrs - McAvoy Group Ltd - Alfreton"/>
    <n v="6"/>
    <n v="16.5"/>
    <d v="2025-12-28T00:00:00"/>
    <s v="hours"/>
    <n v="99"/>
  </r>
  <r>
    <x v="3"/>
    <s v="Daniel"/>
    <s v="Berhane"/>
    <s v="Std Hrs - Miller Homes (NW) - Rookery Place"/>
    <n v="8"/>
    <n v="16.45"/>
    <d v="2025-12-28T00:00:00"/>
    <s v="hours"/>
    <n v="131.6"/>
  </r>
  <r>
    <x v="4"/>
    <s v="Peter"/>
    <s v="Brown"/>
    <s v="Std Hrs - Anwyl Homes Lancashire - Eagles Green"/>
    <n v="9"/>
    <n v="19"/>
    <d v="2026-01-04T00:00:00"/>
    <s v="hours"/>
    <n v="171"/>
  </r>
  <r>
    <x v="5"/>
    <s v="Ben"/>
    <s v="Christie"/>
    <s v="Std Hrs - Morris Homes - Waters Edge"/>
    <n v="8.5"/>
    <n v="16.25"/>
    <d v="2025-12-28T00:00:00"/>
    <s v="hours"/>
    <n v="138.125"/>
  </r>
  <r>
    <x v="6"/>
    <s v="Thomas"/>
    <s v="Dransfield"/>
    <s v="Std Hrs - Harron Homes - Nevison's Fold"/>
    <n v="7.5"/>
    <n v="16.25"/>
    <d v="2026-01-04T00:00:00"/>
    <s v="hours"/>
    <n v="121.875"/>
  </r>
  <r>
    <x v="7"/>
    <s v="Artur"/>
    <s v="Gorskij"/>
    <s v="Std Hrs - Harron Homes - Castle Gardens"/>
    <n v="16"/>
    <n v="16.25"/>
    <d v="2025-12-28T00:00:00"/>
    <s v="hours"/>
    <n v="260"/>
  </r>
  <r>
    <x v="8"/>
    <s v="Fisseha"/>
    <s v="Hanefom"/>
    <s v="Std Hrs - Domis Construction - Waterhouse Gardens (Brewery)"/>
    <n v="10.5"/>
    <n v="15.5"/>
    <d v="2025-12-28T00:00:00"/>
    <s v="hours"/>
    <n v="162.75"/>
  </r>
  <r>
    <x v="9"/>
    <s v="Thomas"/>
    <s v="Huyton"/>
    <s v="Std Hrs - Castle Green Homes - Orchard Place"/>
    <n v="8"/>
    <n v="15.88"/>
    <d v="2026-01-04T00:00:00"/>
    <s v="hours"/>
    <n v="127.04"/>
  </r>
  <r>
    <x v="10"/>
    <s v="Ross"/>
    <s v="Kenyon"/>
    <s v="Std Hrs - Tilia Homes (NW) - Alston Grange"/>
    <n v="17"/>
    <n v="16.25"/>
    <d v="2025-12-28T00:00:00"/>
    <s v="hours"/>
    <n v="276.25"/>
  </r>
  <r>
    <x v="11"/>
    <s v="Ivomir"/>
    <s v="Kirchev"/>
    <s v="Std Hrs - Wain Homes - High Hill View"/>
    <n v="8"/>
    <n v="15.88"/>
    <d v="2025-12-21T00:00:00"/>
    <s v="hours"/>
    <n v="127.04"/>
  </r>
  <r>
    <x v="12"/>
    <s v="Saka"/>
    <s v="Makanda"/>
    <s v="Std Hrs - Domis Construction - Waterhouse Gardens (Brewery) Traffic Marshall"/>
    <n v="26"/>
    <n v="15"/>
    <d v="2026-01-04T00:00:00"/>
    <s v="hours"/>
    <n v="390"/>
  </r>
  <r>
    <x v="13"/>
    <s v="John"/>
    <s v="Mernagh"/>
    <s v="Std Hrs - Barratt Homes (YW) - Wadsworth Gardens Skilled Worker"/>
    <n v="24"/>
    <n v="16.25"/>
    <d v="2025-12-28T00:00:00"/>
    <s v="hours"/>
    <n v="390"/>
  </r>
  <r>
    <x v="14"/>
    <s v="Darren"/>
    <s v="Miller"/>
    <s v="Std Hrs - BW Interiors - The Spine Building"/>
    <n v="1"/>
    <n v="300"/>
    <d v="2026-01-04T00:00:00"/>
    <s v="hours"/>
    <n v="300"/>
  </r>
  <r>
    <x v="14"/>
    <s v="Darren"/>
    <s v="Miller"/>
    <s v="OT1 Hrs - BW Interiors - The Spine Building"/>
    <n v="1"/>
    <n v="450"/>
    <d v="2026-01-04T00:00:00"/>
    <s v="hours"/>
    <n v="450"/>
  </r>
  <r>
    <x v="15"/>
    <s v="Chris"/>
    <s v="Mills"/>
    <s v="Std Hrs - Eccleston Homes - Brook House Place"/>
    <n v="9"/>
    <n v="19"/>
    <d v="2026-01-04T00:00:00"/>
    <s v="hours"/>
    <n v="171"/>
  </r>
  <r>
    <x v="16"/>
    <s v="Gary"/>
    <s v="Minshull"/>
    <s v="Std Hrs - Gleeson Developments Limited (NW) - Bracewell Gardens"/>
    <n v="57"/>
    <n v="19.5"/>
    <d v="2025-12-21T00:00:00"/>
    <s v="hours"/>
    <n v="1111.5"/>
  </r>
  <r>
    <x v="17"/>
    <s v="Daniel"/>
    <s v="Ojo"/>
    <s v="Std Hrs - Jones Homes - Century View"/>
    <n v="8"/>
    <n v="16.25"/>
    <d v="2026-01-04T00:00:00"/>
    <s v="hours"/>
    <n v="130"/>
  </r>
  <r>
    <x v="18"/>
    <s v="Laimis"/>
    <s v="Pamakstys"/>
    <s v="Std Hrs - Avant Homes - Seely Fields"/>
    <n v="8"/>
    <n v="16.25"/>
    <d v="2025-12-28T00:00:00"/>
    <s v="hours"/>
    <n v="130"/>
  </r>
  <r>
    <x v="19"/>
    <s v="Andis"/>
    <s v="Riemers"/>
    <s v="Std Hrs - Anwyl Homes Lancashire - Whittle Brook Park"/>
    <n v="9"/>
    <n v="19.5"/>
    <d v="2026-01-04T00:00:00"/>
    <s v="hours"/>
    <n v="175.5"/>
  </r>
  <r>
    <x v="20"/>
    <s v="Stephen"/>
    <s v="Roberts"/>
    <s v="Expenses - Walter Carefoot PLC - HO"/>
    <n v="1"/>
    <n v="37.5"/>
    <d v="2025-12-28T00:00:00"/>
    <s v="expense"/>
    <n v="37.5"/>
  </r>
  <r>
    <x v="20"/>
    <s v="Stephen"/>
    <s v="Roberts"/>
    <s v="Std Hrs - Walter Carefoot PLC - HO"/>
    <n v="3"/>
    <n v="320"/>
    <d v="2025-12-28T00:00:00"/>
    <s v="hours"/>
    <n v="960"/>
  </r>
  <r>
    <x v="21"/>
    <s v="Ousainou"/>
    <s v="Sawaneh"/>
    <s v="Std Hrs - Redrow Homes - (Datum RPO ) Kingsley Manor - Banksman"/>
    <n v="25.5"/>
    <n v="17"/>
    <d v="2025-12-21T00:00:00"/>
    <s v="hours"/>
    <n v="433.5"/>
  </r>
  <r>
    <x v="22"/>
    <s v="Anthony"/>
    <s v="Shaw"/>
    <s v="Std Hrs - Wain Homes - Kingsley Manor - Telehandler"/>
    <n v="13"/>
    <n v="18"/>
    <d v="2026-01-04T00:00:00"/>
    <s v="hours"/>
    <n v="234"/>
  </r>
  <r>
    <x v="23"/>
    <s v="David"/>
    <s v="Shepley"/>
    <s v="Std Hrs - Alliance Construction Group - MRI - Site Manager"/>
    <n v="3"/>
    <n v="287.5"/>
    <d v="2025-12-28T00:00:00"/>
    <s v="hours"/>
    <n v="862.5"/>
  </r>
  <r>
    <x v="24"/>
    <s v="David"/>
    <s v="Singh"/>
    <s v="Std Hrs - Castle Green Homes - Viking Way B2 - Telehandler"/>
    <n v="8"/>
    <n v="19.5"/>
    <d v="2026-01-04T00:00:00"/>
    <s v="hours"/>
    <n v="156"/>
  </r>
  <r>
    <x v="25"/>
    <s v="Samuel"/>
    <s v="Teklebirahn"/>
    <s v="Std Hrs - Churchill Living- Warrington - Skilled Labourer"/>
    <n v="16"/>
    <n v="16.25"/>
    <d v="2025-12-28T00:00:00"/>
    <s v="hours"/>
    <n v="2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30ADA-16F5-4D33-A577-142E4CC9957B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30" firstHeaderRow="1" firstDataRow="1" firstDataCol="1"/>
  <pivotFields count="9">
    <pivotField axis="axisRow" showAll="0">
      <items count="27">
        <item x="16"/>
        <item x="14"/>
        <item x="24"/>
        <item x="20"/>
        <item x="4"/>
        <item x="11"/>
        <item x="1"/>
        <item x="19"/>
        <item x="10"/>
        <item x="23"/>
        <item x="7"/>
        <item x="21"/>
        <item x="22"/>
        <item x="5"/>
        <item x="13"/>
        <item x="15"/>
        <item x="12"/>
        <item x="3"/>
        <item x="2"/>
        <item x="8"/>
        <item x="17"/>
        <item x="6"/>
        <item x="25"/>
        <item x="0"/>
        <item x="18"/>
        <item x="9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dataField="1"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Total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B1AD2-87B8-4188-A2B9-400622AE0E50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2" firstHeaderRow="1" firstDataRow="1" firstDataCol="1"/>
  <pivotFields count="19">
    <pivotField showAll="0"/>
    <pivotField showAll="0"/>
    <pivotField axis="axisRow" showAll="0">
      <items count="39">
        <item x="17"/>
        <item x="15"/>
        <item x="25"/>
        <item x="21"/>
        <item x="4"/>
        <item x="11"/>
        <item m="1" x="28"/>
        <item m="1" x="35"/>
        <item x="1"/>
        <item x="20"/>
        <item m="1" x="34"/>
        <item x="14"/>
        <item x="10"/>
        <item x="24"/>
        <item m="1" x="31"/>
        <item x="7"/>
        <item m="1" x="29"/>
        <item m="1" x="30"/>
        <item x="22"/>
        <item x="23"/>
        <item x="5"/>
        <item x="13"/>
        <item x="16"/>
        <item x="12"/>
        <item x="3"/>
        <item m="1" x="37"/>
        <item m="1" x="33"/>
        <item x="2"/>
        <item x="8"/>
        <item m="1" x="32"/>
        <item x="18"/>
        <item x="6"/>
        <item x="26"/>
        <item x="0"/>
        <item x="19"/>
        <item x="9"/>
        <item m="1" x="36"/>
        <item x="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8"/>
    </i>
    <i>
      <x v="9"/>
    </i>
    <i>
      <x v="11"/>
    </i>
    <i>
      <x v="12"/>
    </i>
    <i>
      <x v="13"/>
    </i>
    <i>
      <x v="15"/>
    </i>
    <i>
      <x v="18"/>
    </i>
    <i>
      <x v="19"/>
    </i>
    <i>
      <x v="20"/>
    </i>
    <i>
      <x v="21"/>
    </i>
    <i>
      <x v="22"/>
    </i>
    <i>
      <x v="23"/>
    </i>
    <i>
      <x v="24"/>
    </i>
    <i>
      <x v="27"/>
    </i>
    <i>
      <x v="28"/>
    </i>
    <i>
      <x v="30"/>
    </i>
    <i>
      <x v="31"/>
    </i>
    <i>
      <x v="32"/>
    </i>
    <i>
      <x v="33"/>
    </i>
    <i>
      <x v="34"/>
    </i>
    <i>
      <x v="35"/>
    </i>
    <i>
      <x v="37"/>
    </i>
    <i t="grand">
      <x/>
    </i>
  </rowItems>
  <colItems count="1">
    <i/>
  </colItems>
  <dataFields count="1">
    <dataField name="Sum of Net Pay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2FF9D-A47A-4C8C-AC8C-3DC421F1FB9E}">
  <dimension ref="A2:F33"/>
  <sheetViews>
    <sheetView tabSelected="1" workbookViewId="0">
      <selection activeCell="C38" sqref="C38"/>
    </sheetView>
  </sheetViews>
  <sheetFormatPr defaultRowHeight="14.25" x14ac:dyDescent="0.45"/>
  <cols>
    <col min="1" max="1" width="11.9296875" bestFit="1" customWidth="1"/>
    <col min="2" max="2" width="12.6640625" bestFit="1" customWidth="1"/>
    <col min="5" max="5" width="11.9296875" bestFit="1" customWidth="1"/>
    <col min="6" max="6" width="10.53125" bestFit="1" customWidth="1"/>
  </cols>
  <sheetData>
    <row r="2" spans="1:6" x14ac:dyDescent="0.45">
      <c r="A2" t="s">
        <v>236</v>
      </c>
      <c r="E2" t="s">
        <v>235</v>
      </c>
    </row>
    <row r="3" spans="1:6" x14ac:dyDescent="0.45">
      <c r="A3" s="14" t="s">
        <v>191</v>
      </c>
      <c r="B3" t="s">
        <v>194</v>
      </c>
      <c r="E3" s="14" t="s">
        <v>191</v>
      </c>
      <c r="F3" t="s">
        <v>234</v>
      </c>
    </row>
    <row r="4" spans="1:6" x14ac:dyDescent="0.45">
      <c r="A4" s="6" t="s">
        <v>134</v>
      </c>
      <c r="B4" s="15">
        <v>351</v>
      </c>
      <c r="C4">
        <f>VLOOKUP(A4,E:F,2,FALSE)</f>
        <v>1111.5</v>
      </c>
      <c r="E4" s="6" t="s">
        <v>134</v>
      </c>
      <c r="F4" s="15">
        <v>1111.5</v>
      </c>
    </row>
    <row r="5" spans="1:6" x14ac:dyDescent="0.45">
      <c r="A5" s="6" t="s">
        <v>122</v>
      </c>
      <c r="B5" s="15">
        <v>750</v>
      </c>
      <c r="C5">
        <f t="shared" ref="C5:C30" si="0">VLOOKUP(A5,E:F,2,FALSE)</f>
        <v>750</v>
      </c>
      <c r="E5" s="6" t="s">
        <v>122</v>
      </c>
      <c r="F5" s="15">
        <v>750</v>
      </c>
    </row>
    <row r="6" spans="1:6" x14ac:dyDescent="0.45">
      <c r="A6" s="6" t="s">
        <v>180</v>
      </c>
      <c r="B6" s="15">
        <v>156</v>
      </c>
      <c r="C6">
        <f t="shared" si="0"/>
        <v>156</v>
      </c>
      <c r="E6" s="6" t="s">
        <v>180</v>
      </c>
      <c r="F6" s="15">
        <v>156</v>
      </c>
    </row>
    <row r="7" spans="1:6" x14ac:dyDescent="0.45">
      <c r="A7" s="6" t="s">
        <v>157</v>
      </c>
      <c r="B7" s="15">
        <v>997.5</v>
      </c>
      <c r="C7">
        <f t="shared" si="0"/>
        <v>997.5</v>
      </c>
      <c r="E7" s="6" t="s">
        <v>157</v>
      </c>
      <c r="F7" s="15">
        <v>997.5</v>
      </c>
    </row>
    <row r="8" spans="1:6" x14ac:dyDescent="0.45">
      <c r="A8" s="6" t="s">
        <v>57</v>
      </c>
      <c r="B8" s="15">
        <v>171</v>
      </c>
      <c r="C8">
        <f t="shared" si="0"/>
        <v>171</v>
      </c>
      <c r="E8" s="6" t="s">
        <v>57</v>
      </c>
      <c r="F8" s="15">
        <v>171</v>
      </c>
    </row>
    <row r="9" spans="1:6" x14ac:dyDescent="0.45">
      <c r="A9" s="6" t="s">
        <v>98</v>
      </c>
      <c r="B9" s="15">
        <v>127.04</v>
      </c>
      <c r="C9">
        <f t="shared" si="0"/>
        <v>127.04</v>
      </c>
      <c r="E9" s="6" t="s">
        <v>98</v>
      </c>
      <c r="F9" s="15">
        <v>127.04</v>
      </c>
    </row>
    <row r="10" spans="1:6" x14ac:dyDescent="0.45">
      <c r="A10" s="6" t="s">
        <v>33</v>
      </c>
      <c r="B10" s="15">
        <v>369</v>
      </c>
      <c r="C10">
        <f t="shared" si="0"/>
        <v>369</v>
      </c>
      <c r="E10" s="6" t="s">
        <v>33</v>
      </c>
      <c r="F10" s="15">
        <v>369</v>
      </c>
    </row>
    <row r="11" spans="1:6" x14ac:dyDescent="0.45">
      <c r="A11" s="6" t="s">
        <v>149</v>
      </c>
      <c r="B11" s="15">
        <v>175.5</v>
      </c>
      <c r="C11">
        <f t="shared" si="0"/>
        <v>175.5</v>
      </c>
      <c r="E11" s="6" t="s">
        <v>149</v>
      </c>
      <c r="F11" s="15">
        <v>175.5</v>
      </c>
    </row>
    <row r="12" spans="1:6" x14ac:dyDescent="0.45">
      <c r="A12" s="6" t="s">
        <v>115</v>
      </c>
      <c r="B12" s="15">
        <v>146.25</v>
      </c>
      <c r="C12" t="e">
        <f t="shared" si="0"/>
        <v>#N/A</v>
      </c>
      <c r="E12" s="6" t="s">
        <v>92</v>
      </c>
      <c r="F12" s="15">
        <v>276.25</v>
      </c>
    </row>
    <row r="13" spans="1:6" x14ac:dyDescent="0.45">
      <c r="A13" s="6" t="s">
        <v>92</v>
      </c>
      <c r="B13" s="15">
        <v>276.25</v>
      </c>
      <c r="C13">
        <f t="shared" si="0"/>
        <v>276.25</v>
      </c>
      <c r="E13" s="6" t="s">
        <v>175</v>
      </c>
      <c r="F13" s="15">
        <v>862.5</v>
      </c>
    </row>
    <row r="14" spans="1:6" x14ac:dyDescent="0.45">
      <c r="A14" s="6" t="s">
        <v>175</v>
      </c>
      <c r="B14" s="15">
        <v>862.5</v>
      </c>
      <c r="C14">
        <f t="shared" si="0"/>
        <v>862.5</v>
      </c>
      <c r="E14" s="6" t="s">
        <v>75</v>
      </c>
      <c r="F14" s="15">
        <v>260</v>
      </c>
    </row>
    <row r="15" spans="1:6" x14ac:dyDescent="0.45">
      <c r="A15" s="6" t="s">
        <v>75</v>
      </c>
      <c r="B15" s="15">
        <v>260</v>
      </c>
      <c r="C15">
        <f t="shared" si="0"/>
        <v>260</v>
      </c>
      <c r="E15" s="6" t="s">
        <v>163</v>
      </c>
      <c r="F15" s="15">
        <v>433.5</v>
      </c>
    </row>
    <row r="16" spans="1:6" x14ac:dyDescent="0.45">
      <c r="A16" s="6" t="s">
        <v>163</v>
      </c>
      <c r="B16" s="15">
        <v>433.5</v>
      </c>
      <c r="C16">
        <f t="shared" si="0"/>
        <v>433.5</v>
      </c>
      <c r="E16" s="6" t="s">
        <v>169</v>
      </c>
      <c r="F16" s="15">
        <v>234</v>
      </c>
    </row>
    <row r="17" spans="1:6" x14ac:dyDescent="0.45">
      <c r="A17" s="6" t="s">
        <v>169</v>
      </c>
      <c r="B17" s="15">
        <v>234</v>
      </c>
      <c r="C17">
        <f t="shared" si="0"/>
        <v>234</v>
      </c>
      <c r="E17" s="6" t="s">
        <v>63</v>
      </c>
      <c r="F17" s="15">
        <v>138.125</v>
      </c>
    </row>
    <row r="18" spans="1:6" x14ac:dyDescent="0.45">
      <c r="A18" s="6" t="s">
        <v>63</v>
      </c>
      <c r="B18" s="15">
        <v>138.13</v>
      </c>
      <c r="C18">
        <f t="shared" si="0"/>
        <v>138.125</v>
      </c>
      <c r="E18" s="6" t="s">
        <v>110</v>
      </c>
      <c r="F18" s="15">
        <v>390</v>
      </c>
    </row>
    <row r="19" spans="1:6" x14ac:dyDescent="0.45">
      <c r="A19" s="6" t="s">
        <v>110</v>
      </c>
      <c r="B19" s="15">
        <v>130</v>
      </c>
      <c r="C19">
        <f t="shared" si="0"/>
        <v>390</v>
      </c>
      <c r="E19" s="6" t="s">
        <v>128</v>
      </c>
      <c r="F19" s="15">
        <v>171</v>
      </c>
    </row>
    <row r="20" spans="1:6" x14ac:dyDescent="0.45">
      <c r="A20" s="6" t="s">
        <v>128</v>
      </c>
      <c r="B20" s="15">
        <v>171</v>
      </c>
      <c r="C20">
        <f t="shared" si="0"/>
        <v>171</v>
      </c>
      <c r="E20" s="6" t="s">
        <v>105</v>
      </c>
      <c r="F20" s="15">
        <v>390</v>
      </c>
    </row>
    <row r="21" spans="1:6" x14ac:dyDescent="0.45">
      <c r="A21" s="6" t="s">
        <v>105</v>
      </c>
      <c r="B21" s="15">
        <v>390</v>
      </c>
      <c r="C21">
        <f t="shared" si="0"/>
        <v>390</v>
      </c>
      <c r="E21" s="6" t="s">
        <v>51</v>
      </c>
      <c r="F21" s="15">
        <v>131.6</v>
      </c>
    </row>
    <row r="22" spans="1:6" x14ac:dyDescent="0.45">
      <c r="A22" s="6" t="s">
        <v>51</v>
      </c>
      <c r="B22" s="15">
        <v>131.6</v>
      </c>
      <c r="C22">
        <f t="shared" si="0"/>
        <v>131.6</v>
      </c>
      <c r="E22" s="6" t="s">
        <v>43</v>
      </c>
      <c r="F22" s="15">
        <v>330</v>
      </c>
    </row>
    <row r="23" spans="1:6" x14ac:dyDescent="0.45">
      <c r="A23" s="6" t="s">
        <v>43</v>
      </c>
      <c r="B23" s="15">
        <v>330</v>
      </c>
      <c r="C23">
        <f t="shared" si="0"/>
        <v>330</v>
      </c>
      <c r="E23" s="6" t="s">
        <v>81</v>
      </c>
      <c r="F23" s="15">
        <v>162.75</v>
      </c>
    </row>
    <row r="24" spans="1:6" x14ac:dyDescent="0.45">
      <c r="A24" s="6" t="s">
        <v>81</v>
      </c>
      <c r="B24" s="15">
        <v>162.75</v>
      </c>
      <c r="C24">
        <f t="shared" si="0"/>
        <v>162.75</v>
      </c>
      <c r="E24" s="6" t="s">
        <v>140</v>
      </c>
      <c r="F24" s="15">
        <v>130</v>
      </c>
    </row>
    <row r="25" spans="1:6" x14ac:dyDescent="0.45">
      <c r="A25" s="6" t="s">
        <v>140</v>
      </c>
      <c r="B25" s="15">
        <v>130</v>
      </c>
      <c r="C25">
        <f t="shared" si="0"/>
        <v>130</v>
      </c>
      <c r="E25" s="6" t="s">
        <v>70</v>
      </c>
      <c r="F25" s="15">
        <v>121.875</v>
      </c>
    </row>
    <row r="26" spans="1:6" x14ac:dyDescent="0.45">
      <c r="A26" s="6" t="s">
        <v>70</v>
      </c>
      <c r="B26" s="15">
        <v>121.88</v>
      </c>
      <c r="C26">
        <f t="shared" si="0"/>
        <v>121.875</v>
      </c>
      <c r="E26" s="6" t="s">
        <v>185</v>
      </c>
      <c r="F26" s="15">
        <v>260</v>
      </c>
    </row>
    <row r="27" spans="1:6" x14ac:dyDescent="0.45">
      <c r="A27" s="6" t="s">
        <v>185</v>
      </c>
      <c r="B27" s="15">
        <v>260</v>
      </c>
      <c r="C27">
        <f t="shared" si="0"/>
        <v>260</v>
      </c>
      <c r="E27" s="6" t="s">
        <v>22</v>
      </c>
      <c r="F27" s="15">
        <v>113.75</v>
      </c>
    </row>
    <row r="28" spans="1:6" x14ac:dyDescent="0.45">
      <c r="A28" s="6" t="s">
        <v>22</v>
      </c>
      <c r="B28" s="15">
        <v>113.75</v>
      </c>
      <c r="C28">
        <f t="shared" si="0"/>
        <v>113.75</v>
      </c>
      <c r="E28" s="6" t="s">
        <v>144</v>
      </c>
      <c r="F28" s="15">
        <v>130</v>
      </c>
    </row>
    <row r="29" spans="1:6" x14ac:dyDescent="0.45">
      <c r="A29" s="6" t="s">
        <v>144</v>
      </c>
      <c r="B29" s="15">
        <v>130</v>
      </c>
      <c r="C29">
        <f t="shared" si="0"/>
        <v>130</v>
      </c>
      <c r="E29" s="6" t="s">
        <v>88</v>
      </c>
      <c r="F29" s="15">
        <v>127.04</v>
      </c>
    </row>
    <row r="30" spans="1:6" x14ac:dyDescent="0.45">
      <c r="A30" s="6" t="s">
        <v>88</v>
      </c>
      <c r="B30" s="15">
        <v>127.04</v>
      </c>
      <c r="C30">
        <f t="shared" si="0"/>
        <v>127.04</v>
      </c>
      <c r="E30" s="6" t="s">
        <v>193</v>
      </c>
      <c r="F30" s="15">
        <v>8519.93</v>
      </c>
    </row>
    <row r="31" spans="1:6" x14ac:dyDescent="0.45">
      <c r="A31" s="6" t="s">
        <v>192</v>
      </c>
      <c r="B31" s="15"/>
    </row>
    <row r="32" spans="1:6" x14ac:dyDescent="0.45">
      <c r="A32" s="6" t="s">
        <v>193</v>
      </c>
      <c r="B32" s="15">
        <v>7645.6900000000005</v>
      </c>
    </row>
    <row r="33" spans="6:6" x14ac:dyDescent="0.45">
      <c r="F33">
        <f>GETPIVOTDATA("Total",$E$3)-GETPIVOTDATA("Net Pay",$A$3)</f>
        <v>874.23999999999978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D423-C625-4538-A54E-66BF8F4A742B}">
  <dimension ref="A1:T35"/>
  <sheetViews>
    <sheetView topLeftCell="G1" workbookViewId="0">
      <selection activeCell="S22" sqref="S22"/>
    </sheetView>
  </sheetViews>
  <sheetFormatPr defaultRowHeight="14.25" x14ac:dyDescent="0.45"/>
  <cols>
    <col min="1" max="1" width="20.46484375" bestFit="1" customWidth="1"/>
    <col min="2" max="2" width="18" bestFit="1" customWidth="1"/>
    <col min="3" max="3" width="16.46484375" bestFit="1" customWidth="1"/>
    <col min="4" max="4" width="19.59765625" bestFit="1" customWidth="1"/>
    <col min="5" max="5" width="18.6640625" bestFit="1" customWidth="1"/>
    <col min="6" max="6" width="15" bestFit="1" customWidth="1"/>
    <col min="7" max="7" width="13.19921875" bestFit="1" customWidth="1"/>
    <col min="8" max="8" width="18.9296875" bestFit="1" customWidth="1"/>
    <col min="9" max="9" width="45.796875" bestFit="1" customWidth="1"/>
    <col min="10" max="10" width="17.6640625" bestFit="1" customWidth="1"/>
    <col min="11" max="11" width="12.796875" bestFit="1" customWidth="1"/>
    <col min="12" max="12" width="8.73046875" bestFit="1" customWidth="1"/>
    <col min="13" max="14" width="9.19921875" bestFit="1" customWidth="1"/>
    <col min="15" max="15" width="9.59765625" bestFit="1" customWidth="1"/>
    <col min="16" max="17" width="10.06640625" bestFit="1" customWidth="1"/>
    <col min="18" max="18" width="10.53125" bestFit="1" customWidth="1"/>
    <col min="19" max="19" width="9" bestFit="1" customWidth="1"/>
    <col min="20" max="20" width="11.6640625" bestFit="1" customWidth="1"/>
  </cols>
  <sheetData>
    <row r="1" spans="1:20" s="3" customFormat="1" ht="20.100000000000001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 s="6" customFormat="1" ht="20.100000000000001" customHeight="1" x14ac:dyDescent="0.45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5">
        <v>7</v>
      </c>
      <c r="M2" s="5">
        <v>0</v>
      </c>
      <c r="N2" s="5">
        <v>0</v>
      </c>
      <c r="O2" s="5">
        <v>16.25</v>
      </c>
      <c r="P2" s="5">
        <v>0</v>
      </c>
      <c r="Q2" s="5">
        <v>0</v>
      </c>
      <c r="R2" s="5">
        <v>0</v>
      </c>
      <c r="S2" s="5">
        <v>113.75</v>
      </c>
    </row>
    <row r="3" spans="1:20" s="9" customFormat="1" ht="20.100000000000001" customHeight="1" x14ac:dyDescent="0.45">
      <c r="A3" s="7" t="s">
        <v>31</v>
      </c>
      <c r="B3" s="7" t="s">
        <v>32</v>
      </c>
      <c r="C3" s="7" t="s">
        <v>33</v>
      </c>
      <c r="D3" s="7" t="s">
        <v>34</v>
      </c>
      <c r="E3" s="7" t="s">
        <v>35</v>
      </c>
      <c r="F3" s="7" t="s">
        <v>36</v>
      </c>
      <c r="G3" s="7" t="s">
        <v>37</v>
      </c>
      <c r="H3" s="7" t="s">
        <v>27</v>
      </c>
      <c r="I3" s="7" t="s">
        <v>38</v>
      </c>
      <c r="J3" s="7" t="s">
        <v>39</v>
      </c>
      <c r="K3" s="7" t="s">
        <v>40</v>
      </c>
      <c r="L3" s="8">
        <v>18</v>
      </c>
      <c r="M3" s="8">
        <v>0</v>
      </c>
      <c r="N3" s="8">
        <v>0</v>
      </c>
      <c r="O3" s="8">
        <v>20.5</v>
      </c>
      <c r="P3" s="8">
        <v>0</v>
      </c>
      <c r="Q3" s="8">
        <v>0</v>
      </c>
      <c r="R3" s="8">
        <v>0</v>
      </c>
      <c r="S3" s="8">
        <v>369</v>
      </c>
      <c r="T3" s="9" t="s">
        <v>41</v>
      </c>
    </row>
    <row r="4" spans="1:20" s="6" customFormat="1" ht="20.100000000000001" customHeight="1" x14ac:dyDescent="0.45">
      <c r="A4" s="4" t="s">
        <v>42</v>
      </c>
      <c r="B4" s="4" t="s">
        <v>21</v>
      </c>
      <c r="C4" s="4" t="s">
        <v>43</v>
      </c>
      <c r="D4" s="4" t="s">
        <v>44</v>
      </c>
      <c r="E4" s="4" t="s">
        <v>45</v>
      </c>
      <c r="F4" s="4" t="s">
        <v>46</v>
      </c>
      <c r="G4" s="4" t="s">
        <v>26</v>
      </c>
      <c r="H4" s="4" t="s">
        <v>47</v>
      </c>
      <c r="I4" s="4" t="s">
        <v>48</v>
      </c>
      <c r="J4" s="4" t="s">
        <v>49</v>
      </c>
      <c r="K4" s="4" t="s">
        <v>30</v>
      </c>
      <c r="L4" s="5">
        <v>14</v>
      </c>
      <c r="M4" s="5">
        <v>0</v>
      </c>
      <c r="N4" s="5">
        <v>0</v>
      </c>
      <c r="O4" s="5">
        <v>16.5</v>
      </c>
      <c r="P4" s="5">
        <v>0</v>
      </c>
      <c r="Q4" s="5">
        <v>0</v>
      </c>
      <c r="R4" s="5">
        <v>0</v>
      </c>
      <c r="S4" s="5">
        <v>231</v>
      </c>
    </row>
    <row r="5" spans="1:20" s="6" customFormat="1" ht="20.100000000000001" customHeight="1" x14ac:dyDescent="0.45">
      <c r="A5" s="4" t="s">
        <v>42</v>
      </c>
      <c r="B5" s="4" t="s">
        <v>21</v>
      </c>
      <c r="C5" s="4" t="s">
        <v>43</v>
      </c>
      <c r="D5" s="4" t="s">
        <v>44</v>
      </c>
      <c r="E5" s="4" t="s">
        <v>45</v>
      </c>
      <c r="F5" s="4" t="s">
        <v>46</v>
      </c>
      <c r="G5" s="4" t="s">
        <v>26</v>
      </c>
      <c r="H5" s="4" t="s">
        <v>47</v>
      </c>
      <c r="I5" s="4" t="s">
        <v>48</v>
      </c>
      <c r="J5" s="4" t="s">
        <v>49</v>
      </c>
      <c r="K5" s="4" t="s">
        <v>40</v>
      </c>
      <c r="L5" s="5">
        <v>6</v>
      </c>
      <c r="M5" s="5">
        <v>0</v>
      </c>
      <c r="N5" s="5">
        <v>0</v>
      </c>
      <c r="O5" s="5">
        <v>16.5</v>
      </c>
      <c r="P5" s="5">
        <v>0</v>
      </c>
      <c r="Q5" s="5">
        <v>0</v>
      </c>
      <c r="R5" s="5">
        <v>0</v>
      </c>
      <c r="S5" s="5">
        <v>99</v>
      </c>
    </row>
    <row r="6" spans="1:20" s="9" customFormat="1" ht="20.100000000000001" customHeight="1" x14ac:dyDescent="0.45">
      <c r="A6" s="7" t="s">
        <v>50</v>
      </c>
      <c r="B6" s="7" t="s">
        <v>32</v>
      </c>
      <c r="C6" s="7" t="s">
        <v>51</v>
      </c>
      <c r="D6" s="7" t="s">
        <v>52</v>
      </c>
      <c r="E6" s="7" t="s">
        <v>53</v>
      </c>
      <c r="F6" s="7" t="s">
        <v>54</v>
      </c>
      <c r="G6" s="7" t="s">
        <v>55</v>
      </c>
      <c r="H6" s="7" t="s">
        <v>27</v>
      </c>
      <c r="I6" s="7" t="s">
        <v>56</v>
      </c>
      <c r="J6" s="7" t="s">
        <v>29</v>
      </c>
      <c r="K6" s="7" t="s">
        <v>40</v>
      </c>
      <c r="L6" s="8">
        <v>8</v>
      </c>
      <c r="M6" s="8">
        <v>0</v>
      </c>
      <c r="N6" s="8">
        <v>0</v>
      </c>
      <c r="O6" s="8">
        <v>16.45</v>
      </c>
      <c r="P6" s="8">
        <v>0</v>
      </c>
      <c r="Q6" s="8">
        <v>0</v>
      </c>
      <c r="R6" s="8">
        <v>0</v>
      </c>
      <c r="S6" s="8">
        <v>131.6</v>
      </c>
      <c r="T6" s="9" t="s">
        <v>41</v>
      </c>
    </row>
    <row r="7" spans="1:20" s="6" customFormat="1" ht="20.100000000000001" customHeight="1" x14ac:dyDescent="0.45">
      <c r="A7" s="4" t="s">
        <v>31</v>
      </c>
      <c r="B7" s="4" t="s">
        <v>32</v>
      </c>
      <c r="C7" s="4" t="s">
        <v>57</v>
      </c>
      <c r="D7" s="4" t="s">
        <v>58</v>
      </c>
      <c r="E7" s="4" t="s">
        <v>59</v>
      </c>
      <c r="F7" s="4" t="s">
        <v>60</v>
      </c>
      <c r="G7" s="4" t="s">
        <v>61</v>
      </c>
      <c r="H7" s="4" t="s">
        <v>27</v>
      </c>
      <c r="I7" s="4" t="s">
        <v>62</v>
      </c>
      <c r="J7" s="4" t="s">
        <v>39</v>
      </c>
      <c r="K7" s="4" t="s">
        <v>30</v>
      </c>
      <c r="L7" s="5">
        <v>9</v>
      </c>
      <c r="M7" s="5">
        <v>0</v>
      </c>
      <c r="N7" s="5">
        <v>0</v>
      </c>
      <c r="O7" s="5">
        <v>19</v>
      </c>
      <c r="P7" s="5">
        <v>0</v>
      </c>
      <c r="Q7" s="5">
        <v>0</v>
      </c>
      <c r="R7" s="5">
        <v>0</v>
      </c>
      <c r="S7" s="5">
        <v>171</v>
      </c>
    </row>
    <row r="8" spans="1:20" s="9" customFormat="1" ht="20.100000000000001" customHeight="1" x14ac:dyDescent="0.45">
      <c r="A8" s="7" t="s">
        <v>31</v>
      </c>
      <c r="B8" s="7" t="s">
        <v>32</v>
      </c>
      <c r="C8" s="7" t="s">
        <v>63</v>
      </c>
      <c r="D8" s="7" t="s">
        <v>64</v>
      </c>
      <c r="E8" s="7" t="s">
        <v>65</v>
      </c>
      <c r="F8" s="7" t="s">
        <v>66</v>
      </c>
      <c r="G8" s="7" t="s">
        <v>67</v>
      </c>
      <c r="H8" s="7" t="s">
        <v>27</v>
      </c>
      <c r="I8" s="7" t="s">
        <v>68</v>
      </c>
      <c r="J8" s="7" t="s">
        <v>29</v>
      </c>
      <c r="K8" s="7" t="s">
        <v>40</v>
      </c>
      <c r="L8" s="8">
        <v>8.5</v>
      </c>
      <c r="M8" s="8">
        <v>0</v>
      </c>
      <c r="N8" s="8">
        <v>0</v>
      </c>
      <c r="O8" s="8">
        <v>16.25</v>
      </c>
      <c r="P8" s="8">
        <v>0</v>
      </c>
      <c r="Q8" s="8">
        <v>0</v>
      </c>
      <c r="R8" s="8">
        <v>0</v>
      </c>
      <c r="S8" s="8">
        <v>138.13</v>
      </c>
      <c r="T8" s="9" t="s">
        <v>41</v>
      </c>
    </row>
    <row r="9" spans="1:20" s="6" customFormat="1" ht="20.100000000000001" customHeight="1" x14ac:dyDescent="0.45">
      <c r="A9" s="4" t="s">
        <v>20</v>
      </c>
      <c r="B9" s="4" t="s">
        <v>21</v>
      </c>
      <c r="C9" s="4" t="s">
        <v>70</v>
      </c>
      <c r="D9" s="4" t="s">
        <v>71</v>
      </c>
      <c r="E9" s="4" t="s">
        <v>72</v>
      </c>
      <c r="F9" s="4" t="s">
        <v>73</v>
      </c>
      <c r="G9" s="4" t="s">
        <v>26</v>
      </c>
      <c r="H9" s="4" t="s">
        <v>27</v>
      </c>
      <c r="I9" s="4" t="s">
        <v>74</v>
      </c>
      <c r="J9" s="4" t="s">
        <v>29</v>
      </c>
      <c r="K9" s="4" t="s">
        <v>30</v>
      </c>
      <c r="L9" s="5">
        <v>7.5</v>
      </c>
      <c r="M9" s="5">
        <v>0</v>
      </c>
      <c r="N9" s="5">
        <v>0</v>
      </c>
      <c r="O9" s="5">
        <v>16.25</v>
      </c>
      <c r="P9" s="5">
        <v>0</v>
      </c>
      <c r="Q9" s="5">
        <v>0</v>
      </c>
      <c r="R9" s="5">
        <v>0</v>
      </c>
      <c r="S9" s="5">
        <v>121.88</v>
      </c>
    </row>
    <row r="10" spans="1:20" s="6" customFormat="1" ht="20.100000000000001" customHeight="1" x14ac:dyDescent="0.45">
      <c r="A10" s="4" t="s">
        <v>20</v>
      </c>
      <c r="B10" s="4" t="s">
        <v>21</v>
      </c>
      <c r="C10" s="4" t="s">
        <v>75</v>
      </c>
      <c r="D10" s="4" t="s">
        <v>76</v>
      </c>
      <c r="E10" s="4" t="s">
        <v>77</v>
      </c>
      <c r="F10" s="4" t="s">
        <v>78</v>
      </c>
      <c r="G10" s="4" t="s">
        <v>26</v>
      </c>
      <c r="H10" s="4" t="s">
        <v>27</v>
      </c>
      <c r="I10" s="4" t="s">
        <v>79</v>
      </c>
      <c r="J10" s="4" t="s">
        <v>29</v>
      </c>
      <c r="K10" s="4" t="s">
        <v>40</v>
      </c>
      <c r="L10" s="5">
        <v>16</v>
      </c>
      <c r="M10" s="5">
        <v>0</v>
      </c>
      <c r="N10" s="5">
        <v>0</v>
      </c>
      <c r="O10" s="5">
        <v>16.25</v>
      </c>
      <c r="P10" s="5">
        <v>0</v>
      </c>
      <c r="Q10" s="5">
        <v>0</v>
      </c>
      <c r="R10" s="5">
        <v>0</v>
      </c>
      <c r="S10" s="5">
        <v>260</v>
      </c>
    </row>
    <row r="11" spans="1:20" s="6" customFormat="1" ht="20.100000000000001" customHeight="1" x14ac:dyDescent="0.45">
      <c r="A11" s="4" t="s">
        <v>80</v>
      </c>
      <c r="B11" s="4" t="s">
        <v>32</v>
      </c>
      <c r="C11" s="4" t="s">
        <v>81</v>
      </c>
      <c r="D11" s="4" t="s">
        <v>82</v>
      </c>
      <c r="E11" s="4" t="s">
        <v>83</v>
      </c>
      <c r="F11" s="4" t="s">
        <v>84</v>
      </c>
      <c r="G11" s="4" t="s">
        <v>26</v>
      </c>
      <c r="H11" s="4" t="s">
        <v>27</v>
      </c>
      <c r="I11" s="4" t="s">
        <v>85</v>
      </c>
      <c r="J11" s="4" t="s">
        <v>29</v>
      </c>
      <c r="K11" s="4" t="s">
        <v>40</v>
      </c>
      <c r="L11" s="5">
        <v>10.5</v>
      </c>
      <c r="M11" s="5">
        <v>0</v>
      </c>
      <c r="N11" s="5">
        <v>0</v>
      </c>
      <c r="O11" s="5">
        <v>15.5</v>
      </c>
      <c r="P11" s="5">
        <v>23.25</v>
      </c>
      <c r="Q11" s="5">
        <v>0</v>
      </c>
      <c r="R11" s="5">
        <v>0</v>
      </c>
      <c r="S11" s="5">
        <v>162.75</v>
      </c>
    </row>
    <row r="12" spans="1:20" s="6" customFormat="1" ht="20.100000000000001" customHeight="1" x14ac:dyDescent="0.45">
      <c r="A12" s="4" t="s">
        <v>31</v>
      </c>
      <c r="B12" s="4" t="s">
        <v>32</v>
      </c>
      <c r="C12" s="4" t="s">
        <v>88</v>
      </c>
      <c r="D12" s="4" t="s">
        <v>71</v>
      </c>
      <c r="E12" s="4" t="s">
        <v>89</v>
      </c>
      <c r="F12" s="4" t="s">
        <v>90</v>
      </c>
      <c r="G12" s="4" t="s">
        <v>26</v>
      </c>
      <c r="H12" s="4" t="s">
        <v>47</v>
      </c>
      <c r="I12" s="4" t="s">
        <v>91</v>
      </c>
      <c r="J12" s="4" t="s">
        <v>49</v>
      </c>
      <c r="K12" s="4" t="s">
        <v>30</v>
      </c>
      <c r="L12" s="5">
        <v>8</v>
      </c>
      <c r="M12" s="5">
        <v>0</v>
      </c>
      <c r="N12" s="5">
        <v>0</v>
      </c>
      <c r="O12" s="5">
        <v>15.88</v>
      </c>
      <c r="P12" s="5">
        <v>0</v>
      </c>
      <c r="Q12" s="5">
        <v>0</v>
      </c>
      <c r="R12" s="5">
        <v>0</v>
      </c>
      <c r="S12" s="5">
        <v>127.04</v>
      </c>
    </row>
    <row r="13" spans="1:20" s="9" customFormat="1" ht="20.100000000000001" customHeight="1" x14ac:dyDescent="0.45">
      <c r="A13" s="7" t="s">
        <v>50</v>
      </c>
      <c r="B13" s="7" t="s">
        <v>32</v>
      </c>
      <c r="C13" s="7" t="s">
        <v>92</v>
      </c>
      <c r="D13" s="7" t="s">
        <v>93</v>
      </c>
      <c r="E13" s="7" t="s">
        <v>94</v>
      </c>
      <c r="F13" s="7" t="s">
        <v>95</v>
      </c>
      <c r="G13" s="7" t="s">
        <v>96</v>
      </c>
      <c r="H13" s="7" t="s">
        <v>27</v>
      </c>
      <c r="I13" s="7" t="s">
        <v>97</v>
      </c>
      <c r="J13" s="7" t="s">
        <v>29</v>
      </c>
      <c r="K13" s="7" t="s">
        <v>40</v>
      </c>
      <c r="L13" s="8">
        <v>17</v>
      </c>
      <c r="M13" s="8">
        <v>0</v>
      </c>
      <c r="N13" s="8">
        <v>0</v>
      </c>
      <c r="O13" s="8">
        <v>16.25</v>
      </c>
      <c r="P13" s="8">
        <v>0</v>
      </c>
      <c r="Q13" s="8">
        <v>0</v>
      </c>
      <c r="R13" s="8">
        <v>0</v>
      </c>
      <c r="S13" s="8">
        <v>276.25</v>
      </c>
      <c r="T13" s="9" t="s">
        <v>41</v>
      </c>
    </row>
    <row r="14" spans="1:20" s="9" customFormat="1" ht="20.100000000000001" customHeight="1" x14ac:dyDescent="0.45">
      <c r="A14" s="7" t="s">
        <v>86</v>
      </c>
      <c r="B14" s="7" t="s">
        <v>32</v>
      </c>
      <c r="C14" s="7" t="s">
        <v>98</v>
      </c>
      <c r="D14" s="7" t="s">
        <v>99</v>
      </c>
      <c r="E14" s="7" t="s">
        <v>100</v>
      </c>
      <c r="F14" s="7" t="s">
        <v>101</v>
      </c>
      <c r="G14" s="7" t="s">
        <v>102</v>
      </c>
      <c r="H14" s="7" t="s">
        <v>47</v>
      </c>
      <c r="I14" s="7" t="s">
        <v>103</v>
      </c>
      <c r="J14" s="7" t="s">
        <v>49</v>
      </c>
      <c r="K14" s="7" t="s">
        <v>104</v>
      </c>
      <c r="L14" s="8">
        <v>8</v>
      </c>
      <c r="M14" s="8">
        <v>0</v>
      </c>
      <c r="N14" s="8">
        <v>0</v>
      </c>
      <c r="O14" s="8">
        <v>15.88</v>
      </c>
      <c r="P14" s="8">
        <v>0</v>
      </c>
      <c r="Q14" s="8">
        <v>0</v>
      </c>
      <c r="R14" s="8">
        <v>0</v>
      </c>
      <c r="S14" s="8">
        <v>127.04</v>
      </c>
      <c r="T14" s="9" t="s">
        <v>41</v>
      </c>
    </row>
    <row r="15" spans="1:20" s="6" customFormat="1" ht="20.100000000000001" customHeight="1" x14ac:dyDescent="0.45">
      <c r="A15" s="4" t="s">
        <v>80</v>
      </c>
      <c r="B15" s="4" t="s">
        <v>32</v>
      </c>
      <c r="C15" s="4" t="s">
        <v>105</v>
      </c>
      <c r="D15" s="4" t="s">
        <v>106</v>
      </c>
      <c r="E15" s="4" t="s">
        <v>107</v>
      </c>
      <c r="F15" s="4" t="s">
        <v>108</v>
      </c>
      <c r="G15" s="4" t="s">
        <v>26</v>
      </c>
      <c r="H15" s="4" t="s">
        <v>27</v>
      </c>
      <c r="I15" s="4" t="s">
        <v>85</v>
      </c>
      <c r="J15" s="4" t="s">
        <v>109</v>
      </c>
      <c r="K15" s="4" t="s">
        <v>30</v>
      </c>
      <c r="L15" s="5">
        <v>26</v>
      </c>
      <c r="M15" s="5">
        <v>0</v>
      </c>
      <c r="N15" s="5">
        <v>0</v>
      </c>
      <c r="O15" s="5">
        <v>15</v>
      </c>
      <c r="P15" s="5">
        <v>22.5</v>
      </c>
      <c r="Q15" s="5">
        <v>0</v>
      </c>
      <c r="R15" s="5">
        <v>0</v>
      </c>
      <c r="S15" s="5">
        <v>390</v>
      </c>
    </row>
    <row r="16" spans="1:20" s="6" customFormat="1" ht="20.100000000000001" customHeight="1" x14ac:dyDescent="0.45">
      <c r="A16" s="11" t="s">
        <v>20</v>
      </c>
      <c r="B16" s="11" t="s">
        <v>21</v>
      </c>
      <c r="C16" s="11" t="s">
        <v>110</v>
      </c>
      <c r="D16" s="11" t="s">
        <v>111</v>
      </c>
      <c r="E16" s="11" t="s">
        <v>112</v>
      </c>
      <c r="F16" s="11" t="s">
        <v>113</v>
      </c>
      <c r="G16" s="11" t="s">
        <v>26</v>
      </c>
      <c r="H16" s="11" t="s">
        <v>27</v>
      </c>
      <c r="I16" s="11" t="s">
        <v>114</v>
      </c>
      <c r="J16" s="11" t="s">
        <v>29</v>
      </c>
      <c r="K16" s="11" t="s">
        <v>40</v>
      </c>
      <c r="L16" s="12">
        <v>-16</v>
      </c>
      <c r="M16" s="12">
        <v>0</v>
      </c>
      <c r="N16" s="12">
        <v>0</v>
      </c>
      <c r="O16" s="12">
        <v>16.25</v>
      </c>
      <c r="P16" s="12">
        <v>0</v>
      </c>
      <c r="Q16" s="12">
        <v>0</v>
      </c>
      <c r="R16" s="12">
        <v>0</v>
      </c>
      <c r="S16" s="12">
        <v>-260</v>
      </c>
    </row>
    <row r="17" spans="1:20" s="6" customFormat="1" ht="20.100000000000001" customHeight="1" x14ac:dyDescent="0.45">
      <c r="A17" s="4" t="s">
        <v>20</v>
      </c>
      <c r="B17" s="4" t="s">
        <v>21</v>
      </c>
      <c r="C17" s="4" t="s">
        <v>110</v>
      </c>
      <c r="D17" s="4" t="s">
        <v>111</v>
      </c>
      <c r="E17" s="4" t="s">
        <v>112</v>
      </c>
      <c r="F17" s="4" t="s">
        <v>113</v>
      </c>
      <c r="G17" s="4" t="s">
        <v>26</v>
      </c>
      <c r="H17" s="4" t="s">
        <v>27</v>
      </c>
      <c r="I17" s="4" t="s">
        <v>114</v>
      </c>
      <c r="J17" s="4" t="s">
        <v>29</v>
      </c>
      <c r="K17" s="4" t="s">
        <v>40</v>
      </c>
      <c r="L17" s="5">
        <v>24</v>
      </c>
      <c r="M17" s="5">
        <v>0</v>
      </c>
      <c r="N17" s="5">
        <v>0</v>
      </c>
      <c r="O17" s="5">
        <v>16.25</v>
      </c>
      <c r="P17" s="5">
        <v>0</v>
      </c>
      <c r="Q17" s="5">
        <v>0</v>
      </c>
      <c r="R17" s="5">
        <v>0</v>
      </c>
      <c r="S17" s="5">
        <v>390</v>
      </c>
    </row>
    <row r="18" spans="1:20" s="6" customFormat="1" ht="20.100000000000001" customHeight="1" x14ac:dyDescent="0.45">
      <c r="A18" s="11" t="s">
        <v>20</v>
      </c>
      <c r="B18" s="11" t="s">
        <v>21</v>
      </c>
      <c r="C18" s="11" t="s">
        <v>115</v>
      </c>
      <c r="D18" s="11" t="s">
        <v>116</v>
      </c>
      <c r="E18" s="11" t="s">
        <v>112</v>
      </c>
      <c r="F18" s="11" t="s">
        <v>117</v>
      </c>
      <c r="G18" s="11" t="s">
        <v>118</v>
      </c>
      <c r="H18" s="11" t="s">
        <v>27</v>
      </c>
      <c r="I18" s="11" t="s">
        <v>114</v>
      </c>
      <c r="J18" s="11" t="s">
        <v>119</v>
      </c>
      <c r="K18" s="11" t="s">
        <v>40</v>
      </c>
      <c r="L18" s="12">
        <v>-18</v>
      </c>
      <c r="M18" s="12">
        <v>0</v>
      </c>
      <c r="N18" s="12">
        <v>0</v>
      </c>
      <c r="O18" s="12">
        <v>16.25</v>
      </c>
      <c r="P18" s="12">
        <v>0</v>
      </c>
      <c r="Q18" s="12">
        <v>0</v>
      </c>
      <c r="R18" s="12">
        <v>0</v>
      </c>
      <c r="S18" s="12">
        <v>-292.5</v>
      </c>
    </row>
    <row r="19" spans="1:20" s="6" customFormat="1" ht="20.100000000000001" customHeight="1" x14ac:dyDescent="0.45">
      <c r="A19" s="4" t="s">
        <v>20</v>
      </c>
      <c r="B19" s="4" t="s">
        <v>21</v>
      </c>
      <c r="C19" s="4" t="s">
        <v>115</v>
      </c>
      <c r="D19" s="4" t="s">
        <v>116</v>
      </c>
      <c r="E19" s="4" t="s">
        <v>112</v>
      </c>
      <c r="F19" s="4" t="s">
        <v>117</v>
      </c>
      <c r="G19" s="4" t="s">
        <v>118</v>
      </c>
      <c r="H19" s="4" t="s">
        <v>27</v>
      </c>
      <c r="I19" s="4" t="s">
        <v>114</v>
      </c>
      <c r="J19" s="4" t="s">
        <v>119</v>
      </c>
      <c r="K19" s="4" t="s">
        <v>40</v>
      </c>
      <c r="L19" s="5">
        <v>27</v>
      </c>
      <c r="M19" s="5">
        <v>0</v>
      </c>
      <c r="N19" s="5">
        <v>0</v>
      </c>
      <c r="O19" s="5">
        <v>16.25</v>
      </c>
      <c r="P19" s="5">
        <v>0</v>
      </c>
      <c r="Q19" s="5">
        <v>0</v>
      </c>
      <c r="R19" s="5">
        <v>0</v>
      </c>
      <c r="S19" s="5">
        <v>438.75</v>
      </c>
    </row>
    <row r="20" spans="1:20" s="6" customFormat="1" ht="20.100000000000001" customHeight="1" x14ac:dyDescent="0.45">
      <c r="A20" s="4" t="s">
        <v>120</v>
      </c>
      <c r="B20" s="4" t="s">
        <v>121</v>
      </c>
      <c r="C20" s="4" t="s">
        <v>122</v>
      </c>
      <c r="D20" s="4" t="s">
        <v>123</v>
      </c>
      <c r="E20" s="4" t="s">
        <v>124</v>
      </c>
      <c r="F20" s="4" t="s">
        <v>125</v>
      </c>
      <c r="G20" s="4" t="s">
        <v>26</v>
      </c>
      <c r="H20" s="4" t="s">
        <v>27</v>
      </c>
      <c r="I20" s="4" t="s">
        <v>126</v>
      </c>
      <c r="J20" s="4" t="s">
        <v>127</v>
      </c>
      <c r="K20" s="4" t="s">
        <v>30</v>
      </c>
      <c r="L20" s="5">
        <v>1</v>
      </c>
      <c r="M20" s="5">
        <v>1</v>
      </c>
      <c r="N20" s="5">
        <v>0</v>
      </c>
      <c r="O20" s="5">
        <v>300</v>
      </c>
      <c r="P20" s="5">
        <v>450</v>
      </c>
      <c r="Q20" s="5">
        <v>0</v>
      </c>
      <c r="R20" s="5">
        <v>0</v>
      </c>
      <c r="S20" s="5">
        <v>750</v>
      </c>
    </row>
    <row r="21" spans="1:20" s="6" customFormat="1" ht="20.100000000000001" customHeight="1" x14ac:dyDescent="0.45">
      <c r="A21" s="4" t="s">
        <v>31</v>
      </c>
      <c r="B21" s="4" t="s">
        <v>32</v>
      </c>
      <c r="C21" s="4" t="s">
        <v>128</v>
      </c>
      <c r="D21" s="4" t="s">
        <v>129</v>
      </c>
      <c r="E21" s="4" t="s">
        <v>130</v>
      </c>
      <c r="F21" s="4" t="s">
        <v>131</v>
      </c>
      <c r="G21" s="4" t="s">
        <v>132</v>
      </c>
      <c r="H21" s="4" t="s">
        <v>27</v>
      </c>
      <c r="I21" s="4" t="s">
        <v>133</v>
      </c>
      <c r="J21" s="4" t="s">
        <v>39</v>
      </c>
      <c r="K21" s="4" t="s">
        <v>30</v>
      </c>
      <c r="L21" s="5">
        <v>9</v>
      </c>
      <c r="M21" s="5">
        <v>0</v>
      </c>
      <c r="N21" s="5">
        <v>0</v>
      </c>
      <c r="O21" s="5">
        <v>19</v>
      </c>
      <c r="P21" s="5">
        <v>0</v>
      </c>
      <c r="Q21" s="5">
        <v>0</v>
      </c>
      <c r="R21" s="5">
        <v>0</v>
      </c>
      <c r="S21" s="5">
        <v>171</v>
      </c>
    </row>
    <row r="22" spans="1:20" s="9" customFormat="1" ht="20.100000000000001" customHeight="1" x14ac:dyDescent="0.45">
      <c r="A22" s="7" t="s">
        <v>50</v>
      </c>
      <c r="B22" s="7" t="s">
        <v>32</v>
      </c>
      <c r="C22" s="7" t="s">
        <v>134</v>
      </c>
      <c r="D22" s="7" t="s">
        <v>135</v>
      </c>
      <c r="E22" s="7" t="s">
        <v>136</v>
      </c>
      <c r="F22" s="7" t="s">
        <v>137</v>
      </c>
      <c r="G22" s="7" t="s">
        <v>138</v>
      </c>
      <c r="H22" s="7" t="s">
        <v>27</v>
      </c>
      <c r="I22" s="7" t="s">
        <v>139</v>
      </c>
      <c r="J22" s="7" t="s">
        <v>87</v>
      </c>
      <c r="K22" s="7" t="s">
        <v>104</v>
      </c>
      <c r="L22" s="8">
        <v>57</v>
      </c>
      <c r="M22" s="8">
        <v>0</v>
      </c>
      <c r="N22" s="8">
        <v>0</v>
      </c>
      <c r="O22" s="8">
        <v>19.5</v>
      </c>
      <c r="P22" s="8">
        <v>0</v>
      </c>
      <c r="Q22" s="8">
        <v>0</v>
      </c>
      <c r="R22" s="8">
        <v>0</v>
      </c>
      <c r="S22" s="8">
        <v>1111.5</v>
      </c>
      <c r="T22" s="9" t="s">
        <v>41</v>
      </c>
    </row>
    <row r="23" spans="1:20" s="9" customFormat="1" ht="20.100000000000001" customHeight="1" x14ac:dyDescent="0.45">
      <c r="A23" s="7" t="s">
        <v>50</v>
      </c>
      <c r="B23" s="7" t="s">
        <v>32</v>
      </c>
      <c r="C23" s="7" t="s">
        <v>134</v>
      </c>
      <c r="D23" s="7" t="s">
        <v>135</v>
      </c>
      <c r="E23" s="7" t="s">
        <v>136</v>
      </c>
      <c r="F23" s="7" t="s">
        <v>137</v>
      </c>
      <c r="G23" s="7" t="s">
        <v>138</v>
      </c>
      <c r="H23" s="7" t="s">
        <v>27</v>
      </c>
      <c r="I23" s="7" t="s">
        <v>139</v>
      </c>
      <c r="J23" s="7" t="s">
        <v>87</v>
      </c>
      <c r="K23" s="7" t="s">
        <v>104</v>
      </c>
      <c r="L23" s="8">
        <v>-39</v>
      </c>
      <c r="M23" s="8">
        <v>0</v>
      </c>
      <c r="N23" s="8">
        <v>0</v>
      </c>
      <c r="O23" s="8">
        <v>19.5</v>
      </c>
      <c r="P23" s="8">
        <v>0</v>
      </c>
      <c r="Q23" s="8">
        <v>0</v>
      </c>
      <c r="R23" s="8">
        <v>0</v>
      </c>
      <c r="S23" s="8">
        <v>-760.5</v>
      </c>
      <c r="T23" s="9" t="s">
        <v>41</v>
      </c>
    </row>
    <row r="24" spans="1:20" s="6" customFormat="1" ht="20.100000000000001" customHeight="1" x14ac:dyDescent="0.45">
      <c r="A24" s="4" t="s">
        <v>20</v>
      </c>
      <c r="B24" s="4" t="s">
        <v>21</v>
      </c>
      <c r="C24" s="4" t="s">
        <v>140</v>
      </c>
      <c r="D24" s="4" t="s">
        <v>52</v>
      </c>
      <c r="E24" s="4" t="s">
        <v>141</v>
      </c>
      <c r="F24" s="4" t="s">
        <v>142</v>
      </c>
      <c r="G24" s="4" t="s">
        <v>26</v>
      </c>
      <c r="H24" s="4" t="s">
        <v>27</v>
      </c>
      <c r="I24" s="4" t="s">
        <v>143</v>
      </c>
      <c r="J24" s="4" t="s">
        <v>29</v>
      </c>
      <c r="K24" s="4" t="s">
        <v>30</v>
      </c>
      <c r="L24" s="5">
        <v>8</v>
      </c>
      <c r="M24" s="5">
        <v>0</v>
      </c>
      <c r="N24" s="5">
        <v>0</v>
      </c>
      <c r="O24" s="5">
        <v>16.25</v>
      </c>
      <c r="P24" s="5">
        <v>0</v>
      </c>
      <c r="Q24" s="5">
        <v>0</v>
      </c>
      <c r="R24" s="5">
        <v>0</v>
      </c>
      <c r="S24" s="5">
        <v>130</v>
      </c>
    </row>
    <row r="25" spans="1:20" s="6" customFormat="1" ht="20.100000000000001" customHeight="1" x14ac:dyDescent="0.45">
      <c r="A25" s="4" t="s">
        <v>20</v>
      </c>
      <c r="B25" s="4" t="s">
        <v>21</v>
      </c>
      <c r="C25" s="4" t="s">
        <v>144</v>
      </c>
      <c r="D25" s="4" t="s">
        <v>145</v>
      </c>
      <c r="E25" s="4" t="s">
        <v>146</v>
      </c>
      <c r="F25" s="4" t="s">
        <v>147</v>
      </c>
      <c r="G25" s="4" t="s">
        <v>26</v>
      </c>
      <c r="H25" s="4" t="s">
        <v>27</v>
      </c>
      <c r="I25" s="4" t="s">
        <v>148</v>
      </c>
      <c r="J25" s="4" t="s">
        <v>29</v>
      </c>
      <c r="K25" s="4" t="s">
        <v>40</v>
      </c>
      <c r="L25" s="5">
        <v>8</v>
      </c>
      <c r="M25" s="5">
        <v>0</v>
      </c>
      <c r="N25" s="5">
        <v>0</v>
      </c>
      <c r="O25" s="5">
        <v>16.25</v>
      </c>
      <c r="P25" s="5">
        <v>0</v>
      </c>
      <c r="Q25" s="5">
        <v>0</v>
      </c>
      <c r="R25" s="5">
        <v>0</v>
      </c>
      <c r="S25" s="5">
        <v>130</v>
      </c>
    </row>
    <row r="26" spans="1:20" s="6" customFormat="1" ht="20.100000000000001" customHeight="1" x14ac:dyDescent="0.45">
      <c r="A26" s="4" t="s">
        <v>31</v>
      </c>
      <c r="B26" s="4" t="s">
        <v>32</v>
      </c>
      <c r="C26" s="4" t="s">
        <v>149</v>
      </c>
      <c r="D26" s="4" t="s">
        <v>150</v>
      </c>
      <c r="E26" s="4" t="s">
        <v>151</v>
      </c>
      <c r="F26" s="4" t="s">
        <v>152</v>
      </c>
      <c r="G26" s="4" t="s">
        <v>153</v>
      </c>
      <c r="H26" s="4" t="s">
        <v>27</v>
      </c>
      <c r="I26" s="4" t="s">
        <v>154</v>
      </c>
      <c r="J26" s="4" t="s">
        <v>39</v>
      </c>
      <c r="K26" s="4" t="s">
        <v>30</v>
      </c>
      <c r="L26" s="5">
        <v>9</v>
      </c>
      <c r="M26" s="5">
        <v>0</v>
      </c>
      <c r="N26" s="5">
        <v>0</v>
      </c>
      <c r="O26" s="5">
        <v>19.5</v>
      </c>
      <c r="P26" s="5">
        <v>0</v>
      </c>
      <c r="Q26" s="5">
        <v>0</v>
      </c>
      <c r="R26" s="5">
        <v>0</v>
      </c>
      <c r="S26" s="5">
        <v>175.5</v>
      </c>
    </row>
    <row r="27" spans="1:20" s="6" customFormat="1" ht="20.100000000000001" customHeight="1" x14ac:dyDescent="0.45">
      <c r="A27" s="4" t="s">
        <v>155</v>
      </c>
      <c r="B27" s="4" t="s">
        <v>156</v>
      </c>
      <c r="C27" s="4" t="s">
        <v>157</v>
      </c>
      <c r="D27" s="4" t="s">
        <v>158</v>
      </c>
      <c r="E27" s="4" t="s">
        <v>159</v>
      </c>
      <c r="F27" s="4" t="s">
        <v>160</v>
      </c>
      <c r="G27" s="4" t="s">
        <v>26</v>
      </c>
      <c r="H27" s="4" t="s">
        <v>27</v>
      </c>
      <c r="I27" s="4" t="s">
        <v>161</v>
      </c>
      <c r="J27" s="4" t="s">
        <v>162</v>
      </c>
      <c r="K27" s="4" t="s">
        <v>40</v>
      </c>
      <c r="L27" s="5">
        <v>3</v>
      </c>
      <c r="M27" s="5">
        <v>0</v>
      </c>
      <c r="N27" s="5">
        <v>0</v>
      </c>
      <c r="O27" s="5">
        <v>320</v>
      </c>
      <c r="P27" s="5">
        <v>0.25</v>
      </c>
      <c r="Q27" s="5">
        <v>0</v>
      </c>
      <c r="R27" s="5">
        <v>37.5</v>
      </c>
      <c r="S27" s="5">
        <v>997.5</v>
      </c>
    </row>
    <row r="28" spans="1:20" s="9" customFormat="1" ht="20.100000000000001" customHeight="1" x14ac:dyDescent="0.45">
      <c r="A28" s="7" t="s">
        <v>20</v>
      </c>
      <c r="B28" s="7" t="s">
        <v>21</v>
      </c>
      <c r="C28" s="7" t="s">
        <v>163</v>
      </c>
      <c r="D28" s="7" t="s">
        <v>164</v>
      </c>
      <c r="E28" s="7" t="s">
        <v>165</v>
      </c>
      <c r="F28" s="7" t="s">
        <v>166</v>
      </c>
      <c r="G28" s="7" t="s">
        <v>26</v>
      </c>
      <c r="H28" s="7" t="s">
        <v>27</v>
      </c>
      <c r="I28" s="7" t="s">
        <v>167</v>
      </c>
      <c r="J28" s="7" t="s">
        <v>168</v>
      </c>
      <c r="K28" s="7" t="s">
        <v>104</v>
      </c>
      <c r="L28" s="8">
        <v>25.5</v>
      </c>
      <c r="M28" s="8">
        <v>0</v>
      </c>
      <c r="N28" s="8">
        <v>0</v>
      </c>
      <c r="O28" s="8">
        <v>17</v>
      </c>
      <c r="P28" s="8">
        <v>0</v>
      </c>
      <c r="Q28" s="8">
        <v>0</v>
      </c>
      <c r="R28" s="8">
        <v>0</v>
      </c>
      <c r="S28" s="8">
        <v>433.5</v>
      </c>
      <c r="T28" s="9" t="s">
        <v>41</v>
      </c>
    </row>
    <row r="29" spans="1:20" s="6" customFormat="1" ht="20.100000000000001" customHeight="1" x14ac:dyDescent="0.45">
      <c r="A29" s="4" t="s">
        <v>86</v>
      </c>
      <c r="B29" s="4" t="s">
        <v>32</v>
      </c>
      <c r="C29" s="4" t="s">
        <v>169</v>
      </c>
      <c r="D29" s="4" t="s">
        <v>170</v>
      </c>
      <c r="E29" s="4" t="s">
        <v>171</v>
      </c>
      <c r="F29" s="4" t="s">
        <v>172</v>
      </c>
      <c r="G29" s="4" t="s">
        <v>173</v>
      </c>
      <c r="H29" s="4" t="s">
        <v>47</v>
      </c>
      <c r="I29" s="4" t="s">
        <v>174</v>
      </c>
      <c r="J29" s="4" t="s">
        <v>39</v>
      </c>
      <c r="K29" s="4" t="s">
        <v>30</v>
      </c>
      <c r="L29" s="5">
        <v>13</v>
      </c>
      <c r="M29" s="5">
        <v>0</v>
      </c>
      <c r="N29" s="5">
        <v>0</v>
      </c>
      <c r="O29" s="5">
        <v>18</v>
      </c>
      <c r="P29" s="5">
        <v>0</v>
      </c>
      <c r="Q29" s="5">
        <v>0</v>
      </c>
      <c r="R29" s="5">
        <v>0</v>
      </c>
      <c r="S29" s="5">
        <v>234</v>
      </c>
    </row>
    <row r="30" spans="1:20" s="9" customFormat="1" ht="20.100000000000001" customHeight="1" x14ac:dyDescent="0.45">
      <c r="A30" s="7" t="s">
        <v>120</v>
      </c>
      <c r="B30" s="7" t="s">
        <v>121</v>
      </c>
      <c r="C30" s="7" t="s">
        <v>175</v>
      </c>
      <c r="D30" s="7" t="s">
        <v>176</v>
      </c>
      <c r="E30" s="7" t="s">
        <v>177</v>
      </c>
      <c r="F30" s="7" t="s">
        <v>178</v>
      </c>
      <c r="G30" s="7" t="s">
        <v>26</v>
      </c>
      <c r="H30" s="7" t="s">
        <v>27</v>
      </c>
      <c r="I30" s="7" t="s">
        <v>179</v>
      </c>
      <c r="J30" s="7" t="s">
        <v>127</v>
      </c>
      <c r="K30" s="7" t="s">
        <v>40</v>
      </c>
      <c r="L30" s="8">
        <v>3</v>
      </c>
      <c r="M30" s="8">
        <v>0</v>
      </c>
      <c r="N30" s="8">
        <v>0</v>
      </c>
      <c r="O30" s="8">
        <v>287.5</v>
      </c>
      <c r="P30" s="8">
        <v>0</v>
      </c>
      <c r="Q30" s="8">
        <v>0</v>
      </c>
      <c r="R30" s="8">
        <v>0</v>
      </c>
      <c r="S30" s="8">
        <v>862.5</v>
      </c>
      <c r="T30" s="9" t="s">
        <v>41</v>
      </c>
    </row>
    <row r="31" spans="1:20" s="6" customFormat="1" ht="20.100000000000001" customHeight="1" x14ac:dyDescent="0.45">
      <c r="A31" s="4" t="s">
        <v>31</v>
      </c>
      <c r="B31" s="4" t="s">
        <v>32</v>
      </c>
      <c r="C31" s="4" t="s">
        <v>180</v>
      </c>
      <c r="D31" s="4" t="s">
        <v>176</v>
      </c>
      <c r="E31" s="4" t="s">
        <v>181</v>
      </c>
      <c r="F31" s="4" t="s">
        <v>182</v>
      </c>
      <c r="G31" s="4" t="s">
        <v>183</v>
      </c>
      <c r="H31" s="4" t="s">
        <v>27</v>
      </c>
      <c r="I31" s="4" t="s">
        <v>184</v>
      </c>
      <c r="J31" s="4" t="s">
        <v>39</v>
      </c>
      <c r="K31" s="4" t="s">
        <v>30</v>
      </c>
      <c r="L31" s="5">
        <v>8</v>
      </c>
      <c r="M31" s="5">
        <v>0</v>
      </c>
      <c r="N31" s="5">
        <v>0</v>
      </c>
      <c r="O31" s="5">
        <v>19.5</v>
      </c>
      <c r="P31" s="5">
        <v>0</v>
      </c>
      <c r="Q31" s="5">
        <v>0</v>
      </c>
      <c r="R31" s="5">
        <v>0</v>
      </c>
      <c r="S31" s="5">
        <v>156</v>
      </c>
    </row>
    <row r="32" spans="1:20" s="9" customFormat="1" ht="20.100000000000001" customHeight="1" x14ac:dyDescent="0.45">
      <c r="A32" s="7" t="s">
        <v>69</v>
      </c>
      <c r="B32" s="7" t="s">
        <v>32</v>
      </c>
      <c r="C32" s="7" t="s">
        <v>185</v>
      </c>
      <c r="D32" s="7" t="s">
        <v>186</v>
      </c>
      <c r="E32" s="7" t="s">
        <v>187</v>
      </c>
      <c r="F32" s="7" t="s">
        <v>188</v>
      </c>
      <c r="G32" s="7" t="s">
        <v>26</v>
      </c>
      <c r="H32" s="7" t="s">
        <v>47</v>
      </c>
      <c r="I32" s="7" t="s">
        <v>189</v>
      </c>
      <c r="J32" s="7" t="s">
        <v>190</v>
      </c>
      <c r="K32" s="7" t="s">
        <v>40</v>
      </c>
      <c r="L32" s="8">
        <v>16</v>
      </c>
      <c r="M32" s="8">
        <v>0</v>
      </c>
      <c r="N32" s="8">
        <v>0</v>
      </c>
      <c r="O32" s="8">
        <v>16.25</v>
      </c>
      <c r="P32" s="8">
        <v>0</v>
      </c>
      <c r="Q32" s="8">
        <v>0</v>
      </c>
      <c r="R32" s="8">
        <v>0</v>
      </c>
      <c r="S32" s="8">
        <v>260</v>
      </c>
      <c r="T32" s="9" t="s">
        <v>41</v>
      </c>
    </row>
    <row r="34" spans="19:19" x14ac:dyDescent="0.45">
      <c r="S34" s="10"/>
    </row>
    <row r="35" spans="19:19" x14ac:dyDescent="0.45">
      <c r="S35" s="13"/>
    </row>
  </sheetData>
  <autoFilter ref="A1:T32" xr:uid="{8AFDD423-C625-4538-A54E-66BF8F4A742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7E16B-2729-4209-935C-0D3D15997D97}">
  <dimension ref="A1:I30"/>
  <sheetViews>
    <sheetView workbookViewId="0">
      <selection activeCell="H2" sqref="H2"/>
    </sheetView>
  </sheetViews>
  <sheetFormatPr defaultRowHeight="14.25" x14ac:dyDescent="0.45"/>
  <cols>
    <col min="4" max="4" width="61.796875" bestFit="1" customWidth="1"/>
    <col min="7" max="7" width="10" bestFit="1" customWidth="1"/>
  </cols>
  <sheetData>
    <row r="1" spans="1:9" x14ac:dyDescent="0.45">
      <c r="A1" t="s">
        <v>195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233</v>
      </c>
    </row>
    <row r="2" spans="1:9" x14ac:dyDescent="0.45">
      <c r="A2" t="s">
        <v>22</v>
      </c>
      <c r="B2" t="s">
        <v>23</v>
      </c>
      <c r="C2" t="s">
        <v>24</v>
      </c>
      <c r="D2" t="s">
        <v>203</v>
      </c>
      <c r="E2">
        <v>7</v>
      </c>
      <c r="F2">
        <v>16.25</v>
      </c>
      <c r="G2" s="16">
        <v>46026</v>
      </c>
      <c r="H2" t="s">
        <v>204</v>
      </c>
      <c r="I2">
        <f>E2*F2</f>
        <v>113.75</v>
      </c>
    </row>
    <row r="3" spans="1:9" x14ac:dyDescent="0.45">
      <c r="A3" t="s">
        <v>33</v>
      </c>
      <c r="B3" t="s">
        <v>34</v>
      </c>
      <c r="C3" t="s">
        <v>35</v>
      </c>
      <c r="D3" t="s">
        <v>205</v>
      </c>
      <c r="E3">
        <v>18</v>
      </c>
      <c r="F3">
        <v>20.5</v>
      </c>
      <c r="G3" s="16">
        <v>46019</v>
      </c>
      <c r="H3" t="s">
        <v>204</v>
      </c>
      <c r="I3">
        <f t="shared" ref="I3:I30" si="0">E3*F3</f>
        <v>369</v>
      </c>
    </row>
    <row r="4" spans="1:9" x14ac:dyDescent="0.45">
      <c r="A4" t="s">
        <v>43</v>
      </c>
      <c r="B4" t="s">
        <v>44</v>
      </c>
      <c r="C4" t="s">
        <v>45</v>
      </c>
      <c r="D4" t="s">
        <v>206</v>
      </c>
      <c r="E4">
        <v>14</v>
      </c>
      <c r="F4">
        <v>16.5</v>
      </c>
      <c r="G4" s="16">
        <v>46026</v>
      </c>
      <c r="H4" t="s">
        <v>204</v>
      </c>
      <c r="I4">
        <f t="shared" si="0"/>
        <v>231</v>
      </c>
    </row>
    <row r="5" spans="1:9" x14ac:dyDescent="0.45">
      <c r="A5" t="s">
        <v>43</v>
      </c>
      <c r="B5" t="s">
        <v>44</v>
      </c>
      <c r="C5" t="s">
        <v>45</v>
      </c>
      <c r="D5" t="s">
        <v>206</v>
      </c>
      <c r="E5">
        <v>6</v>
      </c>
      <c r="F5">
        <v>16.5</v>
      </c>
      <c r="G5" s="16">
        <v>46019</v>
      </c>
      <c r="H5" t="s">
        <v>204</v>
      </c>
      <c r="I5">
        <f t="shared" si="0"/>
        <v>99</v>
      </c>
    </row>
    <row r="6" spans="1:9" x14ac:dyDescent="0.45">
      <c r="A6" t="s">
        <v>51</v>
      </c>
      <c r="B6" t="s">
        <v>52</v>
      </c>
      <c r="C6" t="s">
        <v>53</v>
      </c>
      <c r="D6" t="s">
        <v>207</v>
      </c>
      <c r="E6">
        <v>8</v>
      </c>
      <c r="F6">
        <v>16.45</v>
      </c>
      <c r="G6" s="16">
        <v>46019</v>
      </c>
      <c r="H6" t="s">
        <v>204</v>
      </c>
      <c r="I6">
        <f t="shared" si="0"/>
        <v>131.6</v>
      </c>
    </row>
    <row r="7" spans="1:9" x14ac:dyDescent="0.45">
      <c r="A7" t="s">
        <v>57</v>
      </c>
      <c r="B7" t="s">
        <v>58</v>
      </c>
      <c r="C7" t="s">
        <v>59</v>
      </c>
      <c r="D7" t="s">
        <v>208</v>
      </c>
      <c r="E7">
        <v>9</v>
      </c>
      <c r="F7">
        <v>19</v>
      </c>
      <c r="G7" s="16">
        <v>46026</v>
      </c>
      <c r="H7" t="s">
        <v>204</v>
      </c>
      <c r="I7">
        <f t="shared" si="0"/>
        <v>171</v>
      </c>
    </row>
    <row r="8" spans="1:9" x14ac:dyDescent="0.45">
      <c r="A8" t="s">
        <v>63</v>
      </c>
      <c r="B8" t="s">
        <v>64</v>
      </c>
      <c r="C8" t="s">
        <v>65</v>
      </c>
      <c r="D8" t="s">
        <v>209</v>
      </c>
      <c r="E8">
        <v>8.5</v>
      </c>
      <c r="F8">
        <v>16.25</v>
      </c>
      <c r="G8" s="16">
        <v>46019</v>
      </c>
      <c r="H8" t="s">
        <v>204</v>
      </c>
      <c r="I8">
        <f t="shared" si="0"/>
        <v>138.125</v>
      </c>
    </row>
    <row r="9" spans="1:9" x14ac:dyDescent="0.45">
      <c r="A9" t="s">
        <v>70</v>
      </c>
      <c r="B9" t="s">
        <v>71</v>
      </c>
      <c r="C9" t="s">
        <v>72</v>
      </c>
      <c r="D9" t="s">
        <v>210</v>
      </c>
      <c r="E9">
        <v>7.5</v>
      </c>
      <c r="F9">
        <v>16.25</v>
      </c>
      <c r="G9" s="16">
        <v>46026</v>
      </c>
      <c r="H9" t="s">
        <v>204</v>
      </c>
      <c r="I9">
        <f t="shared" si="0"/>
        <v>121.875</v>
      </c>
    </row>
    <row r="10" spans="1:9" x14ac:dyDescent="0.45">
      <c r="A10" t="s">
        <v>75</v>
      </c>
      <c r="B10" t="s">
        <v>76</v>
      </c>
      <c r="C10" t="s">
        <v>77</v>
      </c>
      <c r="D10" t="s">
        <v>211</v>
      </c>
      <c r="E10">
        <v>16</v>
      </c>
      <c r="F10">
        <v>16.25</v>
      </c>
      <c r="G10" s="16">
        <v>46019</v>
      </c>
      <c r="H10" t="s">
        <v>204</v>
      </c>
      <c r="I10">
        <f t="shared" si="0"/>
        <v>260</v>
      </c>
    </row>
    <row r="11" spans="1:9" x14ac:dyDescent="0.45">
      <c r="A11" t="s">
        <v>81</v>
      </c>
      <c r="B11" t="s">
        <v>82</v>
      </c>
      <c r="C11" t="s">
        <v>83</v>
      </c>
      <c r="D11" t="s">
        <v>212</v>
      </c>
      <c r="E11">
        <v>10.5</v>
      </c>
      <c r="F11">
        <v>15.5</v>
      </c>
      <c r="G11" s="16">
        <v>46019</v>
      </c>
      <c r="H11" t="s">
        <v>204</v>
      </c>
      <c r="I11">
        <f t="shared" si="0"/>
        <v>162.75</v>
      </c>
    </row>
    <row r="12" spans="1:9" x14ac:dyDescent="0.45">
      <c r="A12" t="s">
        <v>88</v>
      </c>
      <c r="B12" t="s">
        <v>71</v>
      </c>
      <c r="C12" t="s">
        <v>89</v>
      </c>
      <c r="D12" t="s">
        <v>213</v>
      </c>
      <c r="E12">
        <v>8</v>
      </c>
      <c r="F12">
        <v>15.88</v>
      </c>
      <c r="G12" s="16">
        <v>46026</v>
      </c>
      <c r="H12" t="s">
        <v>204</v>
      </c>
      <c r="I12">
        <f t="shared" si="0"/>
        <v>127.04</v>
      </c>
    </row>
    <row r="13" spans="1:9" x14ac:dyDescent="0.45">
      <c r="A13" t="s">
        <v>92</v>
      </c>
      <c r="B13" t="s">
        <v>93</v>
      </c>
      <c r="C13" t="s">
        <v>94</v>
      </c>
      <c r="D13" t="s">
        <v>214</v>
      </c>
      <c r="E13">
        <v>17</v>
      </c>
      <c r="F13">
        <v>16.25</v>
      </c>
      <c r="G13" s="16">
        <v>46019</v>
      </c>
      <c r="H13" t="s">
        <v>204</v>
      </c>
      <c r="I13">
        <f t="shared" si="0"/>
        <v>276.25</v>
      </c>
    </row>
    <row r="14" spans="1:9" x14ac:dyDescent="0.45">
      <c r="A14" t="s">
        <v>98</v>
      </c>
      <c r="B14" t="s">
        <v>99</v>
      </c>
      <c r="C14" t="s">
        <v>100</v>
      </c>
      <c r="D14" t="s">
        <v>215</v>
      </c>
      <c r="E14">
        <v>8</v>
      </c>
      <c r="F14">
        <v>15.88</v>
      </c>
      <c r="G14" s="16">
        <v>46012</v>
      </c>
      <c r="H14" t="s">
        <v>204</v>
      </c>
      <c r="I14">
        <f t="shared" si="0"/>
        <v>127.04</v>
      </c>
    </row>
    <row r="15" spans="1:9" x14ac:dyDescent="0.45">
      <c r="A15" t="s">
        <v>105</v>
      </c>
      <c r="B15" t="s">
        <v>106</v>
      </c>
      <c r="C15" t="s">
        <v>107</v>
      </c>
      <c r="D15" t="s">
        <v>216</v>
      </c>
      <c r="E15">
        <v>26</v>
      </c>
      <c r="F15">
        <v>15</v>
      </c>
      <c r="G15" s="16">
        <v>46026</v>
      </c>
      <c r="H15" t="s">
        <v>204</v>
      </c>
      <c r="I15">
        <f t="shared" si="0"/>
        <v>390</v>
      </c>
    </row>
    <row r="16" spans="1:9" x14ac:dyDescent="0.45">
      <c r="A16" t="s">
        <v>110</v>
      </c>
      <c r="B16" t="s">
        <v>111</v>
      </c>
      <c r="C16" t="s">
        <v>112</v>
      </c>
      <c r="D16" t="s">
        <v>217</v>
      </c>
      <c r="E16">
        <v>24</v>
      </c>
      <c r="F16">
        <v>16.25</v>
      </c>
      <c r="G16" s="16">
        <v>46019</v>
      </c>
      <c r="H16" t="s">
        <v>204</v>
      </c>
      <c r="I16">
        <f t="shared" si="0"/>
        <v>390</v>
      </c>
    </row>
    <row r="17" spans="1:9" x14ac:dyDescent="0.45">
      <c r="A17" t="s">
        <v>122</v>
      </c>
      <c r="B17" t="s">
        <v>123</v>
      </c>
      <c r="C17" t="s">
        <v>124</v>
      </c>
      <c r="D17" t="s">
        <v>218</v>
      </c>
      <c r="E17">
        <v>1</v>
      </c>
      <c r="F17">
        <v>300</v>
      </c>
      <c r="G17" s="16">
        <v>46026</v>
      </c>
      <c r="H17" t="s">
        <v>204</v>
      </c>
      <c r="I17">
        <f t="shared" si="0"/>
        <v>300</v>
      </c>
    </row>
    <row r="18" spans="1:9" x14ac:dyDescent="0.45">
      <c r="A18" t="s">
        <v>122</v>
      </c>
      <c r="B18" t="s">
        <v>123</v>
      </c>
      <c r="C18" t="s">
        <v>124</v>
      </c>
      <c r="D18" t="s">
        <v>219</v>
      </c>
      <c r="E18">
        <v>1</v>
      </c>
      <c r="F18">
        <v>450</v>
      </c>
      <c r="G18" s="16">
        <v>46026</v>
      </c>
      <c r="H18" t="s">
        <v>204</v>
      </c>
      <c r="I18">
        <f t="shared" si="0"/>
        <v>450</v>
      </c>
    </row>
    <row r="19" spans="1:9" x14ac:dyDescent="0.45">
      <c r="A19" t="s">
        <v>128</v>
      </c>
      <c r="B19" t="s">
        <v>129</v>
      </c>
      <c r="C19" t="s">
        <v>130</v>
      </c>
      <c r="D19" t="s">
        <v>220</v>
      </c>
      <c r="E19">
        <v>9</v>
      </c>
      <c r="F19">
        <v>19</v>
      </c>
      <c r="G19" s="16">
        <v>46026</v>
      </c>
      <c r="H19" t="s">
        <v>204</v>
      </c>
      <c r="I19">
        <f t="shared" si="0"/>
        <v>171</v>
      </c>
    </row>
    <row r="20" spans="1:9" x14ac:dyDescent="0.45">
      <c r="A20" t="s">
        <v>134</v>
      </c>
      <c r="B20" t="s">
        <v>135</v>
      </c>
      <c r="C20" t="s">
        <v>136</v>
      </c>
      <c r="D20" t="s">
        <v>221</v>
      </c>
      <c r="E20">
        <v>57</v>
      </c>
      <c r="F20">
        <v>19.5</v>
      </c>
      <c r="G20" s="16">
        <v>46012</v>
      </c>
      <c r="H20" t="s">
        <v>204</v>
      </c>
      <c r="I20">
        <f t="shared" si="0"/>
        <v>1111.5</v>
      </c>
    </row>
    <row r="21" spans="1:9" x14ac:dyDescent="0.45">
      <c r="A21" t="s">
        <v>140</v>
      </c>
      <c r="B21" t="s">
        <v>52</v>
      </c>
      <c r="C21" t="s">
        <v>141</v>
      </c>
      <c r="D21" t="s">
        <v>222</v>
      </c>
      <c r="E21">
        <v>8</v>
      </c>
      <c r="F21">
        <v>16.25</v>
      </c>
      <c r="G21" s="16">
        <v>46026</v>
      </c>
      <c r="H21" t="s">
        <v>204</v>
      </c>
      <c r="I21">
        <f t="shared" si="0"/>
        <v>130</v>
      </c>
    </row>
    <row r="22" spans="1:9" x14ac:dyDescent="0.45">
      <c r="A22" t="s">
        <v>144</v>
      </c>
      <c r="B22" t="s">
        <v>145</v>
      </c>
      <c r="C22" t="s">
        <v>146</v>
      </c>
      <c r="D22" t="s">
        <v>223</v>
      </c>
      <c r="E22">
        <v>8</v>
      </c>
      <c r="F22">
        <v>16.25</v>
      </c>
      <c r="G22" s="16">
        <v>46019</v>
      </c>
      <c r="H22" t="s">
        <v>204</v>
      </c>
      <c r="I22">
        <f t="shared" si="0"/>
        <v>130</v>
      </c>
    </row>
    <row r="23" spans="1:9" x14ac:dyDescent="0.45">
      <c r="A23" t="s">
        <v>149</v>
      </c>
      <c r="B23" t="s">
        <v>150</v>
      </c>
      <c r="C23" t="s">
        <v>151</v>
      </c>
      <c r="D23" t="s">
        <v>224</v>
      </c>
      <c r="E23">
        <v>9</v>
      </c>
      <c r="F23">
        <v>19.5</v>
      </c>
      <c r="G23" s="16">
        <v>46026</v>
      </c>
      <c r="H23" t="s">
        <v>204</v>
      </c>
      <c r="I23">
        <f t="shared" si="0"/>
        <v>175.5</v>
      </c>
    </row>
    <row r="24" spans="1:9" x14ac:dyDescent="0.45">
      <c r="A24" t="s">
        <v>157</v>
      </c>
      <c r="B24" t="s">
        <v>158</v>
      </c>
      <c r="C24" t="s">
        <v>159</v>
      </c>
      <c r="D24" t="s">
        <v>225</v>
      </c>
      <c r="E24">
        <v>1</v>
      </c>
      <c r="F24">
        <v>37.5</v>
      </c>
      <c r="G24" s="16">
        <v>46019</v>
      </c>
      <c r="H24" t="s">
        <v>226</v>
      </c>
      <c r="I24">
        <f t="shared" si="0"/>
        <v>37.5</v>
      </c>
    </row>
    <row r="25" spans="1:9" x14ac:dyDescent="0.45">
      <c r="A25" t="s">
        <v>157</v>
      </c>
      <c r="B25" t="s">
        <v>158</v>
      </c>
      <c r="C25" t="s">
        <v>159</v>
      </c>
      <c r="D25" t="s">
        <v>227</v>
      </c>
      <c r="E25">
        <v>3</v>
      </c>
      <c r="F25">
        <v>320</v>
      </c>
      <c r="G25" s="16">
        <v>46019</v>
      </c>
      <c r="H25" t="s">
        <v>204</v>
      </c>
      <c r="I25">
        <f t="shared" si="0"/>
        <v>960</v>
      </c>
    </row>
    <row r="26" spans="1:9" x14ac:dyDescent="0.45">
      <c r="A26" t="s">
        <v>163</v>
      </c>
      <c r="B26" t="s">
        <v>164</v>
      </c>
      <c r="C26" t="s">
        <v>165</v>
      </c>
      <c r="D26" t="s">
        <v>228</v>
      </c>
      <c r="E26">
        <v>25.5</v>
      </c>
      <c r="F26">
        <v>17</v>
      </c>
      <c r="G26" s="16">
        <v>46012</v>
      </c>
      <c r="H26" t="s">
        <v>204</v>
      </c>
      <c r="I26">
        <f t="shared" si="0"/>
        <v>433.5</v>
      </c>
    </row>
    <row r="27" spans="1:9" x14ac:dyDescent="0.45">
      <c r="A27" t="s">
        <v>169</v>
      </c>
      <c r="B27" t="s">
        <v>170</v>
      </c>
      <c r="C27" t="s">
        <v>171</v>
      </c>
      <c r="D27" t="s">
        <v>229</v>
      </c>
      <c r="E27">
        <v>13</v>
      </c>
      <c r="F27">
        <v>18</v>
      </c>
      <c r="G27" s="16">
        <v>46026</v>
      </c>
      <c r="H27" t="s">
        <v>204</v>
      </c>
      <c r="I27">
        <f t="shared" si="0"/>
        <v>234</v>
      </c>
    </row>
    <row r="28" spans="1:9" x14ac:dyDescent="0.45">
      <c r="A28" t="s">
        <v>175</v>
      </c>
      <c r="B28" t="s">
        <v>176</v>
      </c>
      <c r="C28" t="s">
        <v>177</v>
      </c>
      <c r="D28" t="s">
        <v>230</v>
      </c>
      <c r="E28">
        <v>3</v>
      </c>
      <c r="F28">
        <v>287.5</v>
      </c>
      <c r="G28" s="16">
        <v>46019</v>
      </c>
      <c r="H28" t="s">
        <v>204</v>
      </c>
      <c r="I28">
        <f t="shared" si="0"/>
        <v>862.5</v>
      </c>
    </row>
    <row r="29" spans="1:9" x14ac:dyDescent="0.45">
      <c r="A29" t="s">
        <v>180</v>
      </c>
      <c r="B29" t="s">
        <v>176</v>
      </c>
      <c r="C29" t="s">
        <v>181</v>
      </c>
      <c r="D29" t="s">
        <v>231</v>
      </c>
      <c r="E29">
        <v>8</v>
      </c>
      <c r="F29">
        <v>19.5</v>
      </c>
      <c r="G29" s="16">
        <v>46026</v>
      </c>
      <c r="H29" t="s">
        <v>204</v>
      </c>
      <c r="I29">
        <f t="shared" si="0"/>
        <v>156</v>
      </c>
    </row>
    <row r="30" spans="1:9" x14ac:dyDescent="0.45">
      <c r="A30" t="s">
        <v>185</v>
      </c>
      <c r="B30" t="s">
        <v>186</v>
      </c>
      <c r="C30" t="s">
        <v>187</v>
      </c>
      <c r="D30" t="s">
        <v>232</v>
      </c>
      <c r="E30">
        <v>16</v>
      </c>
      <c r="F30">
        <v>16.25</v>
      </c>
      <c r="G30" s="16">
        <v>46019</v>
      </c>
      <c r="H30" t="s">
        <v>204</v>
      </c>
      <c r="I30">
        <f t="shared" si="0"/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Input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Roselyn Coelho</dc:creator>
  <cp:lastModifiedBy>Zoho Admin</cp:lastModifiedBy>
  <dcterms:created xsi:type="dcterms:W3CDTF">2026-01-07T15:29:22Z</dcterms:created>
  <dcterms:modified xsi:type="dcterms:W3CDTF">2026-01-07T16:03:51Z</dcterms:modified>
</cp:coreProperties>
</file>